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narisprimusgroups.l./Desktop/DesktopAppleAntiguo/Las Cuatro Leyes de la IA Humana/Modelo Matematico xls/Propio xls/"/>
    </mc:Choice>
  </mc:AlternateContent>
  <xr:revisionPtr revIDLastSave="0" documentId="8_{D00DADC6-6868-864B-9B20-27B09E1A23AE}" xr6:coauthVersionLast="47" xr6:coauthVersionMax="47" xr10:uidLastSave="{00000000-0000-0000-0000-000000000000}"/>
  <bookViews>
    <workbookView xWindow="0" yWindow="600" windowWidth="51200" windowHeight="13800" xr2:uid="{00000000-000D-0000-FFFF-FFFF00000000}"/>
  </bookViews>
  <sheets>
    <sheet name="GUIA" sheetId="1" r:id="rId1"/>
    <sheet name="Cap30_Marco" sheetId="2" r:id="rId2"/>
    <sheet name="Cap31_Teoria" sheetId="3" r:id="rId3"/>
    <sheet name="Cap31_Ejemplos" sheetId="4" r:id="rId4"/>
    <sheet name="Cap32_Teoria" sheetId="5" r:id="rId5"/>
    <sheet name="Cap32_Ejemplos" sheetId="6" r:id="rId6"/>
    <sheet name="Cap33_Teoria" sheetId="7" r:id="rId7"/>
    <sheet name="Cap33_Ejemplos" sheetId="8" r:id="rId8"/>
    <sheet name="Cap34_Teoria" sheetId="9" r:id="rId9"/>
    <sheet name="Cap34_Ejemplos" sheetId="10" r:id="rId10"/>
    <sheet name="Cap35_IHG" sheetId="11" r:id="rId11"/>
    <sheet name="Cap35_Validacion" sheetId="12" r:id="rId12"/>
    <sheet name="Dashboar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3" l="1"/>
  <c r="C23" i="13"/>
  <c r="C20" i="13"/>
  <c r="C28" i="13" s="1"/>
  <c r="E17" i="13"/>
  <c r="E16" i="13"/>
  <c r="E15" i="13"/>
  <c r="E14" i="13"/>
  <c r="C10" i="13"/>
  <c r="D9" i="13"/>
  <c r="D8" i="13"/>
  <c r="D7" i="13"/>
  <c r="D6" i="13"/>
  <c r="C24" i="12"/>
  <c r="C23" i="12"/>
  <c r="C24" i="11"/>
  <c r="C22" i="11"/>
  <c r="F9" i="11"/>
  <c r="E9" i="11"/>
  <c r="F8" i="11"/>
  <c r="E8" i="11"/>
  <c r="F7" i="11"/>
  <c r="E7" i="11"/>
  <c r="F6" i="11"/>
  <c r="E6" i="11"/>
  <c r="C11" i="11" s="1"/>
  <c r="C31" i="10"/>
  <c r="F31" i="10" s="1"/>
  <c r="C28" i="10"/>
  <c r="C26" i="10"/>
  <c r="C31" i="8"/>
  <c r="E31" i="8" s="1"/>
  <c r="C26" i="8"/>
  <c r="F26" i="8" s="1"/>
  <c r="F18" i="8"/>
  <c r="C18" i="8"/>
  <c r="C9" i="8"/>
  <c r="C30" i="8" s="1"/>
  <c r="E30" i="8" s="1"/>
  <c r="C8" i="8"/>
  <c r="H51" i="6"/>
  <c r="H50" i="6"/>
  <c r="G50" i="6"/>
  <c r="I50" i="6" s="1"/>
  <c r="F50" i="6"/>
  <c r="H49" i="6"/>
  <c r="F49" i="6"/>
  <c r="G49" i="6" s="1"/>
  <c r="I49" i="6" s="1"/>
  <c r="H48" i="6"/>
  <c r="G48" i="6"/>
  <c r="I48" i="6" s="1"/>
  <c r="F48" i="6"/>
  <c r="E39" i="6"/>
  <c r="E38" i="6"/>
  <c r="E37" i="6"/>
  <c r="E36" i="6"/>
  <c r="E35" i="6"/>
  <c r="E34" i="6"/>
  <c r="E33" i="6"/>
  <c r="E40" i="6" s="1"/>
  <c r="C43" i="6" s="1"/>
  <c r="E25" i="6"/>
  <c r="E24" i="6"/>
  <c r="E23" i="6"/>
  <c r="E22" i="6"/>
  <c r="E21" i="6"/>
  <c r="E20" i="6"/>
  <c r="E26" i="6" s="1"/>
  <c r="C29" i="6" s="1"/>
  <c r="E19" i="6"/>
  <c r="E11" i="6"/>
  <c r="E10" i="6"/>
  <c r="E9" i="6"/>
  <c r="E8" i="6"/>
  <c r="E7" i="6"/>
  <c r="E12" i="6" s="1"/>
  <c r="C15" i="6" s="1"/>
  <c r="E6" i="6"/>
  <c r="E5" i="6"/>
  <c r="C29" i="5"/>
  <c r="C52" i="4"/>
  <c r="G52" i="4" s="1"/>
  <c r="E31" i="4"/>
  <c r="C33" i="4" s="1"/>
  <c r="C31" i="4"/>
  <c r="E30" i="4"/>
  <c r="C30" i="4"/>
  <c r="G27" i="4" s="1"/>
  <c r="H28" i="4"/>
  <c r="G28" i="4"/>
  <c r="H27" i="4"/>
  <c r="H26" i="4"/>
  <c r="G26" i="4"/>
  <c r="H25" i="4"/>
  <c r="G25" i="4"/>
  <c r="H24" i="4"/>
  <c r="G24" i="4"/>
  <c r="H23" i="4"/>
  <c r="H22" i="4"/>
  <c r="G22" i="4"/>
  <c r="H21" i="4"/>
  <c r="G21" i="4"/>
  <c r="H20" i="4"/>
  <c r="G20" i="4"/>
  <c r="H19" i="4"/>
  <c r="C10" i="4"/>
  <c r="C13" i="4" s="1"/>
  <c r="C16" i="2"/>
  <c r="D15" i="2"/>
  <c r="D14" i="2"/>
  <c r="D13" i="2"/>
  <c r="D12" i="2"/>
  <c r="C23" i="11" l="1"/>
  <c r="C12" i="11"/>
  <c r="C34" i="4"/>
  <c r="G33" i="4"/>
  <c r="I51" i="6"/>
  <c r="C53" i="6" s="1"/>
  <c r="F53" i="6" s="1"/>
  <c r="F9" i="8"/>
  <c r="C35" i="4"/>
  <c r="C32" i="8"/>
  <c r="E32" i="8" s="1"/>
  <c r="E33" i="8" s="1"/>
  <c r="G33" i="8" s="1"/>
  <c r="C24" i="13"/>
  <c r="G19" i="4"/>
  <c r="G23" i="4"/>
</calcChain>
</file>

<file path=xl/sharedStrings.xml><?xml version="1.0" encoding="utf-8"?>
<sst xmlns="http://schemas.openxmlformats.org/spreadsheetml/2006/main" count="786" uniqueCount="610">
  <si>
    <t>V55 — MODELO MATEMÁTICO COMPLETO v2</t>
  </si>
  <si>
    <t>Dr. Óscar Gallego Castilla — Las Cuatro Leyes de la IA Humana — Parte VI (Caps 30-35)</t>
  </si>
  <si>
    <t>CÓDIGO DE COLORES</t>
  </si>
  <si>
    <t>Color</t>
  </si>
  <si>
    <t>Significado</t>
  </si>
  <si>
    <t>Instrucción</t>
  </si>
  <si>
    <t>🟡 AMARILLO</t>
  </si>
  <si>
    <t>INPUTS EDITABLES — datos del sistema a evaluar</t>
  </si>
  <si>
    <t>Modifique para evaluar SU sistema</t>
  </si>
  <si>
    <t>⬜ GRIS</t>
  </si>
  <si>
    <t>PESOS Y PARÁMETROS propuestos por el autor (V55)</t>
  </si>
  <si>
    <t>Puede ajustar, documente desviaciones</t>
  </si>
  <si>
    <t>🔵 AZUL</t>
  </si>
  <si>
    <t>FÓRMULAS CALCULADAS — operaciones intermedias</t>
  </si>
  <si>
    <t>No editar: contienen fórmulas Excel</t>
  </si>
  <si>
    <t>🟢 VERDE</t>
  </si>
  <si>
    <t>RESULTADOS FINALES — métricas de salida</t>
  </si>
  <si>
    <t>Valor final + dictamen de cumplimiento</t>
  </si>
  <si>
    <t>🟣 LILA</t>
  </si>
  <si>
    <t>TABLAS DE REFERENCIA — escalas, umbrales, rangos</t>
  </si>
  <si>
    <t>Consultar para interpretar resultados</t>
  </si>
  <si>
    <t>🔴 ROJO</t>
  </si>
  <si>
    <t>ALERTAS — zona crítica o incumplimiento</t>
  </si>
  <si>
    <t>Requiere intervención urgente</t>
  </si>
  <si>
    <t>MAPA DE PESTAÑAS</t>
  </si>
  <si>
    <t>#</t>
  </si>
  <si>
    <t>Pestaña</t>
  </si>
  <si>
    <t>Contenido</t>
  </si>
  <si>
    <t>Tablas / Secciones V55</t>
  </si>
  <si>
    <t>1</t>
  </si>
  <si>
    <t>GUIA</t>
  </si>
  <si>
    <t>Esta guía didáctica</t>
  </si>
  <si>
    <t>—</t>
  </si>
  <si>
    <t>2</t>
  </si>
  <si>
    <t>Cap30_Marco</t>
  </si>
  <si>
    <t>Arquitectura dos niveles, D1-D4, EUC, Declaración Residuo</t>
  </si>
  <si>
    <t>T44, T45, T46, T47 — §7.1</t>
  </si>
  <si>
    <t>3</t>
  </si>
  <si>
    <t>Cap31_Teoria</t>
  </si>
  <si>
    <t>MUI, fórmulas I, ρₕ, EUC personalización</t>
  </si>
  <si>
    <t>T48, §7.2.3-4</t>
  </si>
  <si>
    <t>4</t>
  </si>
  <si>
    <t>Cap31_Ejemplos</t>
  </si>
  <si>
    <t>María+Interestelar, Tabla 49, ρₕ, T50 convergencia</t>
  </si>
  <si>
    <t>T49, T50 — §7.2.5-7</t>
  </si>
  <si>
    <t>5</t>
  </si>
  <si>
    <t>Cap32_Teoria</t>
  </si>
  <si>
    <t>Fórmulas α, M(d), R, AHP moral, T52-56</t>
  </si>
  <si>
    <t>T52-56, T60 — §7.3</t>
  </si>
  <si>
    <t>6</t>
  </si>
  <si>
    <t>Cap32_Ejemplos</t>
  </si>
  <si>
    <t>Préstamo, moderación, diagnóstico, erosión</t>
  </si>
  <si>
    <t>T57-59, T61 — §7.3.6-17</t>
  </si>
  <si>
    <t>7</t>
  </si>
  <si>
    <t>Cap33_Teoria</t>
  </si>
  <si>
    <t>Fórmulas CEE, ICD, IDP, ICT, AHP transparencia</t>
  </si>
  <si>
    <t>T64-73 — §7.4</t>
  </si>
  <si>
    <t>8</t>
  </si>
  <si>
    <t>Cap33_Ejemplos</t>
  </si>
  <si>
    <t>SHAP préstamo, ICD 3 plataformas, IDP, ICT</t>
  </si>
  <si>
    <t>T64-74 — §7.4.4-15</t>
  </si>
  <si>
    <t>9</t>
  </si>
  <si>
    <t>Cap34_Teoria</t>
  </si>
  <si>
    <t>Clasificador moral, sigmoide, φ, pesos w, umbral θ</t>
  </si>
  <si>
    <t>T76-77, T81 — §7.5</t>
  </si>
  <si>
    <t>10</t>
  </si>
  <si>
    <t>Cap34_Ejemplos</t>
  </si>
  <si>
    <t>3 decisiones φ, 9 decisiones espectro, crédito, Tasa A</t>
  </si>
  <si>
    <t>T78-83, T85 — §7.5.7-26</t>
  </si>
  <si>
    <t>11</t>
  </si>
  <si>
    <t>Cap35_IHG</t>
  </si>
  <si>
    <t>Fórmula IHG, AHP pesos leyes, condiciones necesarias</t>
  </si>
  <si>
    <t>T89-92 — §7.6.4-9</t>
  </si>
  <si>
    <t>12</t>
  </si>
  <si>
    <t>Cap35_Validacion</t>
  </si>
  <si>
    <t>Patologías, sensibilidad pesos, erosión temporal</t>
  </si>
  <si>
    <t>T93-94 — §7.6.10-14</t>
  </si>
  <si>
    <t>13</t>
  </si>
  <si>
    <t>Dashboard</t>
  </si>
  <si>
    <t>Panel resumen final + dictamen certificación</t>
  </si>
  <si>
    <t>Integra todo</t>
  </si>
  <si>
    <t>FLUJO DE CERTIFICACIÓN (§7.1.2)</t>
  </si>
  <si>
    <t>Certificación = (D1 ∧ D2 ∧ D3 ∧ D4) ∧ (IHG ≥ 0.60) ∧ (C1 ∧ C2 ∧ C3)</t>
  </si>
  <si>
    <t>PASO 1: Verificar D1-D4 (pestaña Cap30_Marco) → si alguno falla, DESCALIFICADO</t>
  </si>
  <si>
    <t>PASO 2: Calcular I, R, ICT, A (pestañas Cap31-34) → cada uno con su EUC</t>
  </si>
  <si>
    <t>PASO 3: Calcular IHG + 3 condiciones (pestaña Cap35_IHG)</t>
  </si>
  <si>
    <t>PASO 4: Panel final (pestaña Dashboard) → DICTAMEN</t>
  </si>
  <si>
    <t>NOTA IMPORTANTE</t>
  </si>
  <si>
    <t>Todos los datos numéricos precargados son los EJEMPLOS ILUSTRATIVOS del V55.</t>
  </si>
  <si>
    <t>Para auditar un sistema real, sustituya SOLO las celdas amarillas con datos del sistema.</t>
  </si>
  <si>
    <t>Todas las formulaciones son especulativas y requieren validación empírica (§7.1.1).</t>
  </si>
  <si>
    <t>CAPÍTULO 30 — FUNDAMENTOS MATEMÁTICOS (§7.1)</t>
  </si>
  <si>
    <t>NIVEL 1: CONDICIONES DEONTOLÓGICAS (Tabla 44, §7.1.3)</t>
  </si>
  <si>
    <t>Condición</t>
  </si>
  <si>
    <t>Ley que protege</t>
  </si>
  <si>
    <t>Pregunta de verificación</t>
  </si>
  <si>
    <t>Método de auditoría</t>
  </si>
  <si>
    <t>D1: No instrumentalización</t>
  </si>
  <si>
    <t>1ª (Persona)</t>
  </si>
  <si>
    <t>¿Función objetivo incluye bienestar del usuario?</t>
  </si>
  <si>
    <t>Auditoría de función objetivo</t>
  </si>
  <si>
    <t>D2: Override humano</t>
  </si>
  <si>
    <t>2ª (Aumento)</t>
  </si>
  <si>
    <t>¿Existe mecanismo de reversión humana operativo?</t>
  </si>
  <si>
    <t>Verificación técnica de flujo</t>
  </si>
  <si>
    <t>D3: Explicación accesible</t>
  </si>
  <si>
    <t>3ª (Transparencia)</t>
  </si>
  <si>
    <t>¿Toda decisión significativa tiene explicación?</t>
  </si>
  <si>
    <t>Test comprensión con usuarios</t>
  </si>
  <si>
    <t>D4: Abstención ante lo moral</t>
  </si>
  <si>
    <t>4ª (Límite)</t>
  </si>
  <si>
    <t>¿Existe mecanismo de escalamiento a humano?</t>
  </si>
  <si>
    <t>Verificación técnica + auditoría</t>
  </si>
  <si>
    <t>VERIFICACIÓN D1-D4 (celdas amarillas: 1=Sí, 0=No)</t>
  </si>
  <si>
    <t>¿Se cumple?</t>
  </si>
  <si>
    <t>Resultado</t>
  </si>
  <si>
    <t>D2: Override humano operativo</t>
  </si>
  <si>
    <t>NIVEL 1 GLOBAL</t>
  </si>
  <si>
    <t>ESCALA UNIVERSAL DE CUMPLIMIENTO — EUC (Tabla 45, §7.1.4)</t>
  </si>
  <si>
    <t>Nivel</t>
  </si>
  <si>
    <t>Rango</t>
  </si>
  <si>
    <t>Significado cualitativo</t>
  </si>
  <si>
    <t>Acción requerida</t>
  </si>
  <si>
    <t>Crítico</t>
  </si>
  <si>
    <t>[0.00, 0.25)</t>
  </si>
  <si>
    <t>Violación grave y sistémica</t>
  </si>
  <si>
    <t>Suspensión hasta corrección</t>
  </si>
  <si>
    <t>Insuficiente</t>
  </si>
  <si>
    <t>[0.25, 0.50)</t>
  </si>
  <si>
    <t>Violación en aspectos sustanciales</t>
  </si>
  <si>
    <t>Intervención urgente</t>
  </si>
  <si>
    <t>Aceptable</t>
  </si>
  <si>
    <t>[0.50, 0.70)</t>
  </si>
  <si>
    <t>Cumplimiento mínimo con riesgos</t>
  </si>
  <si>
    <t>Intervención a medio plazo</t>
  </si>
  <si>
    <t>Bueno</t>
  </si>
  <si>
    <t>[0.70, 0.85)</t>
  </si>
  <si>
    <t>Cumplimiento con margen de mejora</t>
  </si>
  <si>
    <t>Optimización programada</t>
  </si>
  <si>
    <t>Excelente</t>
  </si>
  <si>
    <t>[0.85, 1.00]</t>
  </si>
  <si>
    <t>Cumplimiento robusto y consistente</t>
  </si>
  <si>
    <t>Mantenimiento + mejora continua</t>
  </si>
  <si>
    <t>APLICACIÓN DE LA EUC A LAS MÉTRICAS POR LEY (Tabla 46, §7.1.5)</t>
  </si>
  <si>
    <t>Ley</t>
  </si>
  <si>
    <t>Métrica</t>
  </si>
  <si>
    <t>Umbral mínimo</t>
  </si>
  <si>
    <t>Nivel EUC requerido</t>
  </si>
  <si>
    <t>1ª Persona</t>
  </si>
  <si>
    <t>Índice Personalización (I)</t>
  </si>
  <si>
    <t>I ≥ 0.70</t>
  </si>
  <si>
    <t>Bueno o superior</t>
  </si>
  <si>
    <t>2ª Aumento</t>
  </si>
  <si>
    <t>Ratio Decisión Humana (R)</t>
  </si>
  <si>
    <t>R ≥ 0.70</t>
  </si>
  <si>
    <t>3ª Transparencia</t>
  </si>
  <si>
    <t>Índice Compuesto Transp. (ICT)</t>
  </si>
  <si>
    <t>ICT ≥ 0.75</t>
  </si>
  <si>
    <t>Bueno (zona alta)</t>
  </si>
  <si>
    <t>4ª Límite</t>
  </si>
  <si>
    <t>Tasa Abstención Correcta (A)</t>
  </si>
  <si>
    <t>A ≥ 0.95</t>
  </si>
  <si>
    <t>Excelente (zona alta)</t>
  </si>
  <si>
    <t>RESUMEN CAPÍTULO 30 (Tabla 47, §7.1.8)</t>
  </si>
  <si>
    <t>Concepto</t>
  </si>
  <si>
    <t>Descripción</t>
  </si>
  <si>
    <t>Aplicación</t>
  </si>
  <si>
    <t>Riesgo si se ignora</t>
  </si>
  <si>
    <t>Arquitectura dos niveles</t>
  </si>
  <si>
    <t>Nivel 1 (deontológico) + Nivel 2 (cuantitativo)</t>
  </si>
  <si>
    <t>Respeta incondicionalidad dignidad + gradualidad implementación</t>
  </si>
  <si>
    <t>Tratar dignidad como variable continua</t>
  </si>
  <si>
    <t>Condiciones D1-D4</t>
  </si>
  <si>
    <t>Verificaciones binarias previas</t>
  </si>
  <si>
    <t>Filtro categórico que ninguna puntuación elude</t>
  </si>
  <si>
    <t>Compensar violaciones con excelencia en otras dimensiones</t>
  </si>
  <si>
    <t>EUC</t>
  </si>
  <si>
    <t>Cinco niveles en [0,1]</t>
  </si>
  <si>
    <t>Comparabilidad entre sistemas y disciplinas</t>
  </si>
  <si>
    <t>Escalas ad hoc incomparables</t>
  </si>
  <si>
    <t>Declaración de Residuo</t>
  </si>
  <si>
    <t>Documentación de lo que métricas no capturan</t>
  </si>
  <si>
    <t>Salvaguarda contra confundir mapa con territorio</t>
  </si>
  <si>
    <t>Creer que IHG mide dignidad cuando mide proxies</t>
  </si>
  <si>
    <t>Principios metodológicos</t>
  </si>
  <si>
    <t>Incertidumbre, validez, coherencia, monitoreo, adaptabilidad</t>
  </si>
  <si>
    <t>Marco de rigor para capítulos siguientes</t>
  </si>
  <si>
    <t>Propuestas sin criterio de evaluación propia</t>
  </si>
  <si>
    <t>CAPÍTULO 31 — MÉTRICAS PARA LA LEY DE LA PERSONA (§7.2)</t>
  </si>
  <si>
    <t>1. MODELO DE USUARIO INDIVIDUAL — MUI (Tabla 48, §7.2.3)</t>
  </si>
  <si>
    <t>Componente</t>
  </si>
  <si>
    <t>Fórmula</t>
  </si>
  <si>
    <t>Ref V55</t>
  </si>
  <si>
    <t>Predicción total</t>
  </si>
  <si>
    <t>f(x) = g(x) + h(x, Mᵤ)</t>
  </si>
  <si>
    <t>Salida completa del sistema</t>
  </si>
  <si>
    <t>§7.2.3</t>
  </si>
  <si>
    <t>Componente poblacional</t>
  </si>
  <si>
    <t>g(x)</t>
  </si>
  <si>
    <t>Predicción sin conocer al usuario</t>
  </si>
  <si>
    <t>Componente personal</t>
  </si>
  <si>
    <t>h(x, Mᵤ)</t>
  </si>
  <si>
    <t>Ajuste por memoria episódica</t>
  </si>
  <si>
    <t>Memoria episódica</t>
  </si>
  <si>
    <t>Mᵤ = {Pᵤ, Hᵤ, Cᵤ}</t>
  </si>
  <si>
    <t>Preferencias + Historia + Correcciones</t>
  </si>
  <si>
    <t>2. MÉTRICAS (§7.2.4)</t>
  </si>
  <si>
    <t>Umbral</t>
  </si>
  <si>
    <t>Índice de Personalización</t>
  </si>
  <si>
    <t>I = Var(h) / Var(f)</t>
  </si>
  <si>
    <t>§7.2.4</t>
  </si>
  <si>
    <t>Coeficiente adecuación</t>
  </si>
  <si>
    <t>ρₕ = Cov(h,s) / (σₕ × σₛ)</t>
  </si>
  <si>
    <t>ρₕ ≥ 0.30</t>
  </si>
  <si>
    <t>§7.2.4.1</t>
  </si>
  <si>
    <t>Piso varianza absoluta</t>
  </si>
  <si>
    <t>Var(h) ≥ ε_min</t>
  </si>
  <si>
    <t>ε_min = 0.005</t>
  </si>
  <si>
    <t>§7.2.4.2</t>
  </si>
  <si>
    <t>3. EUC APLICADA AL ÍNDICE I</t>
  </si>
  <si>
    <t>Zona</t>
  </si>
  <si>
    <t>Rango I</t>
  </si>
  <si>
    <t>Interpretación</t>
  </si>
  <si>
    <t>I &lt; 0.30</t>
  </si>
  <si>
    <t>Personalización mínima o nula</t>
  </si>
  <si>
    <t>Básico</t>
  </si>
  <si>
    <t>0.30 ≤ I &lt; 0.50</t>
  </si>
  <si>
    <t>Incipiente pero insuficiente</t>
  </si>
  <si>
    <t>0.50 ≤ I &lt; 0.70</t>
  </si>
  <si>
    <t>Parcial, margen significativo</t>
  </si>
  <si>
    <t>0.70 ≤ I &lt; 0.85</t>
  </si>
  <si>
    <t>✓ Genuina (umbral cumplido)</t>
  </si>
  <si>
    <t>I ≥ 0.85</t>
  </si>
  <si>
    <t>Avanzada, referencia del sector</t>
  </si>
  <si>
    <t>4. CONVERGENCIA TEMPORAL I(t) — Tabla 50 (§7.2.7)</t>
  </si>
  <si>
    <t>I(t) → I ≥ 0.70 cuando t → T_dominio</t>
  </si>
  <si>
    <t>Dominio</t>
  </si>
  <si>
    <t>T_dominio estimado</t>
  </si>
  <si>
    <t>Justificación</t>
  </si>
  <si>
    <t>Recomendación contenido</t>
  </si>
  <si>
    <t>20-50 interacciones</t>
  </si>
  <si>
    <t>Alta frecuencia, preferencias estables</t>
  </si>
  <si>
    <t>Asistente IA conversacional</t>
  </si>
  <si>
    <t>10-30 conversaciones</t>
  </si>
  <si>
    <t>Interacciones ricas, aprendizaje rápido</t>
  </si>
  <si>
    <t>E-commerce</t>
  </si>
  <si>
    <t>30-80 interacciones</t>
  </si>
  <si>
    <t>Preferencias diversas por categoría</t>
  </si>
  <si>
    <t>Educación personalizada</t>
  </si>
  <si>
    <t>15-40 sesiones</t>
  </si>
  <si>
    <t>Necesidades emergen progresivamente</t>
  </si>
  <si>
    <t>Salud y bienestar</t>
  </si>
  <si>
    <t>40-100 interacciones</t>
  </si>
  <si>
    <t>Dominio sensible, más cautela</t>
  </si>
  <si>
    <t>EJEMPLO 7 — María + Interestelar (§7.2.5)</t>
  </si>
  <si>
    <t>PASO 1: g(x) — Modelo base</t>
  </si>
  <si>
    <t>g("Interestelar")</t>
  </si>
  <si>
    <t>pts</t>
  </si>
  <si>
    <t>Usuario promedio</t>
  </si>
  <si>
    <t>PASO 2: h(x, Mᵤ) — Ajuste individual</t>
  </si>
  <si>
    <t>Pᵤ: Pref. explícita</t>
  </si>
  <si>
    <t>"Me encanta la ciencia ficción" → +15</t>
  </si>
  <si>
    <t>Hᵤ: Historia</t>
  </si>
  <si>
    <t>3 películas de Nolan completas → +8</t>
  </si>
  <si>
    <t>Cᵤ: Corrección</t>
  </si>
  <si>
    <t>Mala recomendación película &gt;150min → −5</t>
  </si>
  <si>
    <t>h total</t>
  </si>
  <si>
    <t>PASO 3: f(x) = g(x) + h(x,Mᵤ)</t>
  </si>
  <si>
    <t>f(Interestelar)</t>
  </si>
  <si>
    <t>V55: 72 + 18 = 90 puntos (§7.2.5)</t>
  </si>
  <si>
    <t>EJEMPLO 8 — Índice I paso a paso (Tabla 49, §7.2.6)</t>
  </si>
  <si>
    <t>10 predicciones de sistema de contenido educativo. Datos EXACTOS del V55 Tabla 49.</t>
  </si>
  <si>
    <t>Predicción</t>
  </si>
  <si>
    <t>f(x)</t>
  </si>
  <si>
    <t>h(x,Mᵤ)</t>
  </si>
  <si>
    <t>f−f̄</t>
  </si>
  <si>
    <t>h−h̄</t>
  </si>
  <si>
    <t>Ref</t>
  </si>
  <si>
    <t>Media</t>
  </si>
  <si>
    <t>V55: f̄=0.731, h̄=0.189</t>
  </si>
  <si>
    <t>Varianza</t>
  </si>
  <si>
    <t>V55: Var(f)=0.0395, Var(h)=0.0356</t>
  </si>
  <si>
    <t>I = Var(h)/Var(f)</t>
  </si>
  <si>
    <t>Umbral ≥ 0.70</t>
  </si>
  <si>
    <t>V55: I = 0.0356/0.0395 ≈ 0.9013 (§7.2.6)</t>
  </si>
  <si>
    <t>Zona EUC</t>
  </si>
  <si>
    <t>Var(h) ≥ ε_min?</t>
  </si>
  <si>
    <t>COEFICIENTE DE ADECUACIÓN ρₕ (§7.2.4.1)</t>
  </si>
  <si>
    <t>Correlación Pearson entre h(x,Mᵤ) y satisfacción declarada s del usuario</t>
  </si>
  <si>
    <t>s (satisf.)</t>
  </si>
  <si>
    <t>ρₕ = CORREL(h, s)</t>
  </si>
  <si>
    <t>Umbral ≥ 0.30</t>
  </si>
  <si>
    <t>V55 exige I≥0.70 AND ρₕ≥0.30 (§7.2.4.1)</t>
  </si>
  <si>
    <t>CAPÍTULO 32 — MÉTRICAS PARA LA LEY DEL AUMENTO (§7.3)</t>
  </si>
  <si>
    <t>1. FÓRMULAS PRINCIPALES (§7.3.3-7.3.8)</t>
  </si>
  <si>
    <t>Coef. Autonomía Preservada</t>
  </si>
  <si>
    <t>α(d) = α_base × (1 - M(d)) × Pᵤ</t>
  </si>
  <si>
    <t>Cuánta autonomía retiene usuario en decisión d</t>
  </si>
  <si>
    <t>§7.3.6</t>
  </si>
  <si>
    <t>Peso Moral M(d)</t>
  </si>
  <si>
    <t>AHP 7 indicadores → M(d) ∈ [0,1]</t>
  </si>
  <si>
    <t>Cuánta carga moral tiene la decisión</t>
  </si>
  <si>
    <t>§7.3.5</t>
  </si>
  <si>
    <t>Ratio Decisión Humana</t>
  </si>
  <si>
    <t>R = Σ[(1−α)×w] / Σ[w]  con w=1+M</t>
  </si>
  <si>
    <t>Agregado ponderado por moral</t>
  </si>
  <si>
    <t>§7.3.8</t>
  </si>
  <si>
    <t>Participación usuario</t>
  </si>
  <si>
    <t>Pᵤ ∈ [0,1]</t>
  </si>
  <si>
    <t>Nivel real de participación del usuario</t>
  </si>
  <si>
    <t>§7.3.7</t>
  </si>
  <si>
    <t>2. INDICADORES PARA PESO MORAL M(d) — AHP (Tabla 52, §7.3.5)</t>
  </si>
  <si>
    <t>Indicador φ</t>
  </si>
  <si>
    <t>Escala</t>
  </si>
  <si>
    <t>φ₁: Reversibilidad</t>
  </si>
  <si>
    <t>¿La decisión es reversible?</t>
  </si>
  <si>
    <t>0=totalmente reversible, 1=irreversible</t>
  </si>
  <si>
    <t>φ₂: Alcance temporal</t>
  </si>
  <si>
    <t>¿Cuánto dura el efecto?</t>
  </si>
  <si>
    <t>0=efímero, 1=permanente</t>
  </si>
  <si>
    <t>φ₃: Personas afectadas</t>
  </si>
  <si>
    <t>¿Cuántas personas impacta?</t>
  </si>
  <si>
    <t>0=solo usuario, 1=muchas personas</t>
  </si>
  <si>
    <t>φ₄: Asimetría informativa</t>
  </si>
  <si>
    <t>¿El sistema sabe más que el usuario?</t>
  </si>
  <si>
    <t>0=equilibrio, 1=asimetría total</t>
  </si>
  <si>
    <t>φ₅: Vulnerabilidad</t>
  </si>
  <si>
    <t>¿El afectado es vulnerable?</t>
  </si>
  <si>
    <t>0=no vulnerable, 1=muy vulnerable</t>
  </si>
  <si>
    <t>φ₆: Dignidad afectada</t>
  </si>
  <si>
    <t>¿Afecta directamente a dignidad?</t>
  </si>
  <si>
    <t>0=no afecta, 1=afecta directamente</t>
  </si>
  <si>
    <t>φ₇: Marco normativo</t>
  </si>
  <si>
    <t>¿Existe regulación aplicable?</t>
  </si>
  <si>
    <t>0=no regulado, 1=altamente regulado</t>
  </si>
  <si>
    <t>3. PESOS AHP INDICADORES (Tablas 53-56, §7.3.5)</t>
  </si>
  <si>
    <t>Indicador</t>
  </si>
  <si>
    <t>Peso AHP wᵢ</t>
  </si>
  <si>
    <t>Derivado de matriz AHP (§7.3.5)</t>
  </si>
  <si>
    <t>SUMA</t>
  </si>
  <si>
    <t>4. MECANISMOS HITL POR ZONA DE RIESGO (Tabla 60, §7.3.14)</t>
  </si>
  <si>
    <t>M(d)</t>
  </si>
  <si>
    <t>Mecanismo HITL</t>
  </si>
  <si>
    <t>Baja</t>
  </si>
  <si>
    <t>M &lt; 0.3</t>
  </si>
  <si>
    <t>Notificación post-hoc</t>
  </si>
  <si>
    <t>0.3 ≤ M &lt; 0.7</t>
  </si>
  <si>
    <t>Aprobación previa con explicación</t>
  </si>
  <si>
    <t>Alta</t>
  </si>
  <si>
    <t>0.7 ≤ M &lt; 0.9</t>
  </si>
  <si>
    <t>Doble aprobación + comité</t>
  </si>
  <si>
    <t>Crítica</t>
  </si>
  <si>
    <t>M ≥ 0.9</t>
  </si>
  <si>
    <t>Abstención total del sistema</t>
  </si>
  <si>
    <t>EJEMPLOS NUMÉRICOS CAP 32 — Tablas 57-59 (§7.3.6-12)</t>
  </si>
  <si>
    <t>Tabla 57: PRÉSTAMO HIPOTECARIO (§7.3.6)</t>
  </si>
  <si>
    <t>Valor φᵢ</t>
  </si>
  <si>
    <t>Peso wᵢ</t>
  </si>
  <si>
    <t>φᵢ×wᵢ</t>
  </si>
  <si>
    <t>φ₁ Reversibilidad</t>
  </si>
  <si>
    <t>φ₂ Alcance temporal</t>
  </si>
  <si>
    <t>φ₃ Personas afectadas</t>
  </si>
  <si>
    <t>φ₄ Asimetría info</t>
  </si>
  <si>
    <t>φ₅ Vulnerabilidad</t>
  </si>
  <si>
    <t>φ₆ Dignidad</t>
  </si>
  <si>
    <t>φ₇ Marco normativo</t>
  </si>
  <si>
    <t>M(d) = Σ(φᵢ×wᵢ)</t>
  </si>
  <si>
    <t>α_base</t>
  </si>
  <si>
    <t>Pᵤ (participación)</t>
  </si>
  <si>
    <t>α(d) = α_base×(1-M)×Pᵤ</t>
  </si>
  <si>
    <t>Tabla 58: MODERACIÓN CONTENIDO MENORES (§7.3.9)</t>
  </si>
  <si>
    <t>Tabla 59: DIAGNÓSTICO MÉDICO (§7.3.11)</t>
  </si>
  <si>
    <t>RATIO R AGREGADO — 3 decisiones (§7.3.8)</t>
  </si>
  <si>
    <t>Decisión</t>
  </si>
  <si>
    <t>Pᵤ</t>
  </si>
  <si>
    <t>α(d)</t>
  </si>
  <si>
    <t>(1−α)</t>
  </si>
  <si>
    <t>w=1+M</t>
  </si>
  <si>
    <t>(1−α)×w</t>
  </si>
  <si>
    <t>Clasificar radiografía</t>
  </si>
  <si>
    <t>Sugerir diagnóstico</t>
  </si>
  <si>
    <t>Prescribir medicamento</t>
  </si>
  <si>
    <t>R = Σ[(1−α)×w] / Σ[w]</t>
  </si>
  <si>
    <t>CAPÍTULO 33 — MÉTRICAS PARA LA LEY DE LA TRANSPARENCIA (§7.4)</t>
  </si>
  <si>
    <t>1. MÉTRICAS PRINCIPALES (§7.4.1-7.4.10)</t>
  </si>
  <si>
    <t>Cobertura Explicación</t>
  </si>
  <si>
    <t>CE = decisiones_con_SHAP / total</t>
  </si>
  <si>
    <t>CE ≥ 0.90</t>
  </si>
  <si>
    <t>§7.4.3</t>
  </si>
  <si>
    <t>Índ. Calidad Explicación</t>
  </si>
  <si>
    <t>ICE = (Q_F + Q_C + Q_Ac) / 3</t>
  </si>
  <si>
    <t>[0,1]</t>
  </si>
  <si>
    <t>§7.4.5</t>
  </si>
  <si>
    <t>Cobertura Efectiva Expl.</t>
  </si>
  <si>
    <t>CEE = CE × ICE</t>
  </si>
  <si>
    <t>CEE ≥ 0.50 (piso)</t>
  </si>
  <si>
    <t>Índ. Control Datos</t>
  </si>
  <si>
    <t>ICD = (Cₐ+Cc+Cp+Cr+Cₑ)/5</t>
  </si>
  <si>
    <t>ICD ≥ 0.40 (piso)</t>
  </si>
  <si>
    <t>§7.4.6</t>
  </si>
  <si>
    <t>Índ. Distribución Poder</t>
  </si>
  <si>
    <t>IDP = (Dₐ+Ds+Dᵢ+Dᵥ)/4</t>
  </si>
  <si>
    <t>IDP ≥ 0.25 (piso)</t>
  </si>
  <si>
    <t>§7.4.8</t>
  </si>
  <si>
    <t>Índ. Compuesto Transp.</t>
  </si>
  <si>
    <t>ICT = wₑ×CEE + wᵢ×ICD + wₚ×IDP</t>
  </si>
  <si>
    <t>§7.4.11</t>
  </si>
  <si>
    <t>2. PESOS AHP PARA ICT (Tablas 69-73, §7.4.11-12)</t>
  </si>
  <si>
    <t>CEE (Explicabilidad)</t>
  </si>
  <si>
    <t>Mayor peso: transparencia algorítmica fundamental</t>
  </si>
  <si>
    <t>ICD (Control de datos)</t>
  </si>
  <si>
    <t>RGPD y derechos de datos</t>
  </si>
  <si>
    <t>IDP (Distribución poder)</t>
  </si>
  <si>
    <t>Concentración informacional</t>
  </si>
  <si>
    <t>3. EJEMPLO SHAP — Préstamo (Tabla 64, §7.4.4)</t>
  </si>
  <si>
    <t>Variable</t>
  </si>
  <si>
    <t>Valor SHAP</t>
  </si>
  <si>
    <t>Ingresos anuales</t>
  </si>
  <si>
    <t>Aumenta probabilidad de aprobación</t>
  </si>
  <si>
    <t>Historial crediticio</t>
  </si>
  <si>
    <t>Factor más positivo</t>
  </si>
  <si>
    <t>Ratio deuda/ingreso</t>
  </si>
  <si>
    <t>Reduce probabilidad</t>
  </si>
  <si>
    <t>Antigüedad laboral</t>
  </si>
  <si>
    <t>Contribución positiva moderada</t>
  </si>
  <si>
    <t>Edad</t>
  </si>
  <si>
    <t>Impacto mínimo</t>
  </si>
  <si>
    <t>EJEMPLOS NUMÉRICOS CAP 33 — ICT COMPLETO (§7.4.11-15)</t>
  </si>
  <si>
    <t>1. COBERTURA EFECTIVA DE EXPLICACIÓN — CEE</t>
  </si>
  <si>
    <t>CE (Cobertura)</t>
  </si>
  <si>
    <t>92% decisiones con SHAP</t>
  </si>
  <si>
    <t>Q_F (Fidelidad)</t>
  </si>
  <si>
    <t>Q_C (Comprensión)</t>
  </si>
  <si>
    <t>Q_Ac (Accionabilidad)</t>
  </si>
  <si>
    <t>ICE = (Q_F+Q_C+Q_Ac)/3</t>
  </si>
  <si>
    <t>Piso ≥ 0.50</t>
  </si>
  <si>
    <t>2. ÍNDICE DE CONTROL DE DATOS — ICD (§7.4.6)</t>
  </si>
  <si>
    <t>Derecho RGPD</t>
  </si>
  <si>
    <t>Puntuación Cᵢ</t>
  </si>
  <si>
    <t>Cₐ: Acceso</t>
  </si>
  <si>
    <t>Cc: Corrección</t>
  </si>
  <si>
    <t>Cp: Portabilidad</t>
  </si>
  <si>
    <t>Cr: Restricción</t>
  </si>
  <si>
    <t>Cₑ: Eliminación</t>
  </si>
  <si>
    <t>ICD = media</t>
  </si>
  <si>
    <t>Piso ≥ 0.40</t>
  </si>
  <si>
    <t>3. ÍNDICE DE DISTRIBUCIÓN DE PODER — IDP (§7.4.8)</t>
  </si>
  <si>
    <t>Dimensión</t>
  </si>
  <si>
    <t>Puntuación Dᵢ</t>
  </si>
  <si>
    <t>Dₐ: Acceso algoritmos</t>
  </si>
  <si>
    <t>Ds: Simetría info</t>
  </si>
  <si>
    <t>Dᵢ: Interoperabilidad</t>
  </si>
  <si>
    <t>Dᵥ: Voz efectiva</t>
  </si>
  <si>
    <t>IDP = media</t>
  </si>
  <si>
    <t>Piso ≥ 0.25</t>
  </si>
  <si>
    <t>4. ÍNDICE COMPUESTO DE TRANSPARENCIA — ICT (Tabla 74, §7.4.15)</t>
  </si>
  <si>
    <t>Valor</t>
  </si>
  <si>
    <t>Peso</t>
  </si>
  <si>
    <t>Ponderado</t>
  </si>
  <si>
    <t>CEE</t>
  </si>
  <si>
    <t>ICD</t>
  </si>
  <si>
    <t>IDP</t>
  </si>
  <si>
    <t>ICT = Σ ponderados</t>
  </si>
  <si>
    <t>CAPÍTULO 34 — MÉTRICAS PARA LA LEY DEL LÍMITE (§7.5)</t>
  </si>
  <si>
    <t>1. CLASIFICADOR DE DECISIONES MORALES (Tabla 76, §7.5.8)</t>
  </si>
  <si>
    <t>Probabilidad moral</t>
  </si>
  <si>
    <t>P(moral|d) = σ(Σ wᵢφᵢ − θ)</t>
  </si>
  <si>
    <t>Sigmoide sobre indicadores ponderados</t>
  </si>
  <si>
    <t>§7.5.8</t>
  </si>
  <si>
    <t>Función sigmoide</t>
  </si>
  <si>
    <t>σ(z) = 1 / (1 + e⁻ᶻ)</t>
  </si>
  <si>
    <t>Mapea score a probabilidad [0,1]</t>
  </si>
  <si>
    <t>Umbral decisión</t>
  </si>
  <si>
    <t>θ = umbral calibrado</t>
  </si>
  <si>
    <t>θ=3.5 por defecto</t>
  </si>
  <si>
    <t>§7.5.9</t>
  </si>
  <si>
    <t>Tasa Abstención</t>
  </si>
  <si>
    <t>A = VP / (VP + FN)</t>
  </si>
  <si>
    <t>Recall: morales detectadas / total morales</t>
  </si>
  <si>
    <t>§7.5.17</t>
  </si>
  <si>
    <t>2. INDICADORES φ Y PESOS (Tablas 77, 81, §7.5.7-13)</t>
  </si>
  <si>
    <t>0-1</t>
  </si>
  <si>
    <t>§7.5.13</t>
  </si>
  <si>
    <t>φ₂: Pluralismo razonable</t>
  </si>
  <si>
    <t>φ₃: Afectación derechos</t>
  </si>
  <si>
    <t>φ₄: Vulnerabilidad</t>
  </si>
  <si>
    <t>φ₅: Incertidumbre empírica</t>
  </si>
  <si>
    <t>φ₆: Vida o muerte</t>
  </si>
  <si>
    <t>EJEMPLOS NUMÉRICOS CAP 34 (§7.5.7-26)</t>
  </si>
  <si>
    <t>1. TRES DECISIONES — P(moral|d) (Tablas 78-80, §7.5.14-16)</t>
  </si>
  <si>
    <t>φ₁</t>
  </si>
  <si>
    <t>φ₂</t>
  </si>
  <si>
    <t>φ₃</t>
  </si>
  <si>
    <t>φ₄</t>
  </si>
  <si>
    <t>φ₅</t>
  </si>
  <si>
    <t>φ₆</t>
  </si>
  <si>
    <t>Score z</t>
  </si>
  <si>
    <t>P(moral)</t>
  </si>
  <si>
    <t>Umbral θ</t>
  </si>
  <si>
    <t>Dictamen</t>
  </si>
  <si>
    <t>Recomendar producto</t>
  </si>
  <si>
    <t>✓ Técnica</t>
  </si>
  <si>
    <t>Denegar préstamo</t>
  </si>
  <si>
    <t>⚠ Supervisión</t>
  </si>
  <si>
    <t>Triaje emergencia</t>
  </si>
  <si>
    <t>⛔ ABSTENCIÓN</t>
  </si>
  <si>
    <t>2. ESPECTRO DE 9 DECISIONES (Tablas 82-83, §7.5.18)</t>
  </si>
  <si>
    <t>Ordenar playlist</t>
  </si>
  <si>
    <t>Filtrar spam</t>
  </si>
  <si>
    <t>Recomendar noticia</t>
  </si>
  <si>
    <t>Priorizar CV</t>
  </si>
  <si>
    <t>Denegar seguro</t>
  </si>
  <si>
    <t>Moderar contenido</t>
  </si>
  <si>
    <t>Scoring crediticio</t>
  </si>
  <si>
    <t>Diagnóstico médico</t>
  </si>
  <si>
    <t>Arma autónoma</t>
  </si>
  <si>
    <t>3. TASA DE ABSTENCIÓN CORRECTA A (§7.5.17-19)</t>
  </si>
  <si>
    <t>Total decisiones auditadas</t>
  </si>
  <si>
    <t>Genuinamente morales (panel)</t>
  </si>
  <si>
    <t>Genuinamente técnicas</t>
  </si>
  <si>
    <t>VP (morales detectadas)</t>
  </si>
  <si>
    <t>FN (morales NO detectadas)</t>
  </si>
  <si>
    <t>FP (abstención innecesaria)</t>
  </si>
  <si>
    <t>Umbral ≥ 0.95</t>
  </si>
  <si>
    <t>CAPÍTULO 35 — ÍNDICE DE HUMANIZACIÓN GLOBAL (§7.6.4)</t>
  </si>
  <si>
    <t>IHG = I^w₁ × R^w₂ × ICT^w₃ × A^w₄  con w=[0.35, 0.30, 0.20, 0.15]</t>
  </si>
  <si>
    <t>PESOS AHP PARA LAS LEYES (Tablas 89-91, §7.6.3-4)</t>
  </si>
  <si>
    <t>Métrica (Ley)</t>
  </si>
  <si>
    <t>Métricaʷ</t>
  </si>
  <si>
    <t>Contribución</t>
  </si>
  <si>
    <t>Nota</t>
  </si>
  <si>
    <t>I — Persona (Cap.31)</t>
  </si>
  <si>
    <t>R — Aumento (Cap.32)</t>
  </si>
  <si>
    <t>ICT — Transparencia (Cap.33)</t>
  </si>
  <si>
    <t>A — Límite (Cap.34)</t>
  </si>
  <si>
    <t>IHG = Π(mᵢ^wᵢ)</t>
  </si>
  <si>
    <t>UMBRALES DE IHG PROPUESTOS (Tabla 92, §7.6.7)</t>
  </si>
  <si>
    <t>Rango IHG</t>
  </si>
  <si>
    <t>No certificable</t>
  </si>
  <si>
    <t>IHG &lt; 0.60</t>
  </si>
  <si>
    <t>No supera umbral mínimo</t>
  </si>
  <si>
    <t>Certificación básica</t>
  </si>
  <si>
    <t>0.60 ≤ IHG &lt; 0.70</t>
  </si>
  <si>
    <t>Cumplimiento mínimo aceptable</t>
  </si>
  <si>
    <t>Certificación estándar</t>
  </si>
  <si>
    <t>0.70 ≤ IHG &lt; 0.85</t>
  </si>
  <si>
    <t>Cumplimiento sólido</t>
  </si>
  <si>
    <t>Certificación excelente</t>
  </si>
  <si>
    <t>IHG ≥ 0.85</t>
  </si>
  <si>
    <t>Referencia del sector</t>
  </si>
  <si>
    <t>3 CONDICIONES NECESARIAS (§7.6.8)</t>
  </si>
  <si>
    <t>C1: Pisos mínimos (I≥0.50, R≥0.50, ICT≥0.50, A≥0.80)</t>
  </si>
  <si>
    <t>C2: IHG ≥ 0.60</t>
  </si>
  <si>
    <t>C3: Desequilibrio ≤ 0.40</t>
  </si>
  <si>
    <t>CAP 35 — SENSIBILIDAD, PATOLOGÍAS, EROSIÓN (§7.6.10-14)</t>
  </si>
  <si>
    <t>1. PATOLOGÍAS DE DISEÑO (Tabla 93, §7.6.10)</t>
  </si>
  <si>
    <t>Patología</t>
  </si>
  <si>
    <t>Perfil</t>
  </si>
  <si>
    <t>Diagnóstico</t>
  </si>
  <si>
    <t>Paternalismo algorítmico</t>
  </si>
  <si>
    <t>I alto, R bajo</t>
  </si>
  <si>
    <t>Conoce al usuario pero decide por él</t>
  </si>
  <si>
    <t>Transparencia vacía</t>
  </si>
  <si>
    <t>ICT alto, I bajo</t>
  </si>
  <si>
    <t>Explica pero no personaliza</t>
  </si>
  <si>
    <t>Caja negra benevolente</t>
  </si>
  <si>
    <t>I+R altos, ICT bajo</t>
  </si>
  <si>
    <t>Funciona bien pero no es auditable</t>
  </si>
  <si>
    <t>Límite sin persona</t>
  </si>
  <si>
    <t>A alto, I bajo</t>
  </si>
  <si>
    <t>Se abstiene correctamente sin conocer al usuario</t>
  </si>
  <si>
    <t>Cumplimiento cosmético</t>
  </si>
  <si>
    <t>Todas ~0.55</t>
  </si>
  <si>
    <t>Mínimos sin excelencia en ninguna dimensión</t>
  </si>
  <si>
    <t>2. SENSIBILIDAD DE PESOS ±10% (Tabla 94, §7.6.13)</t>
  </si>
  <si>
    <t>Escenario</t>
  </si>
  <si>
    <t>w_I</t>
  </si>
  <si>
    <t>w_R</t>
  </si>
  <si>
    <t>w_ICT</t>
  </si>
  <si>
    <t>w_A</t>
  </si>
  <si>
    <t>IHG</t>
  </si>
  <si>
    <t>Base</t>
  </si>
  <si>
    <t>w_I+10%</t>
  </si>
  <si>
    <t>w_R+10%</t>
  </si>
  <si>
    <t>w_ICT+10%</t>
  </si>
  <si>
    <t>w_A+10%</t>
  </si>
  <si>
    <t>3. EROSIÓN TEMPORAL (§7.6.12)</t>
  </si>
  <si>
    <t>Monitoreo: si IHG(t) cae &gt;5% respecto a certificación → alerta</t>
  </si>
  <si>
    <t>IHG certificación</t>
  </si>
  <si>
    <t>IHG actual</t>
  </si>
  <si>
    <t>Caída %</t>
  </si>
  <si>
    <t>¿Alerta erosión?</t>
  </si>
  <si>
    <t>═══ DASHBOARD — PANEL DE CERTIFICACIÓN V55 ═══</t>
  </si>
  <si>
    <t>Dr. Óscar Gallego Castilla — Las Cuatro Leyes de la IA Humana</t>
  </si>
  <si>
    <t>NIVEL 1: CONDICIONES DEONTOLÓGICAS</t>
  </si>
  <si>
    <t>Cumple (1/0)</t>
  </si>
  <si>
    <t>D4: Abstención moral</t>
  </si>
  <si>
    <t>NIVEL 1</t>
  </si>
  <si>
    <t>NIVEL 2: MÉTRICAS POR LEY</t>
  </si>
  <si>
    <t>I — Persona</t>
  </si>
  <si>
    <t>≥ 0.70</t>
  </si>
  <si>
    <t>R — Aumento</t>
  </si>
  <si>
    <t>ICT — Transparencia</t>
  </si>
  <si>
    <t>≥ 0.75</t>
  </si>
  <si>
    <t>A — Límite</t>
  </si>
  <si>
    <t>≥ 0.95</t>
  </si>
  <si>
    <t>IHG — ÍNDICE DE HUMANIZACIÓN GLOBAL</t>
  </si>
  <si>
    <t>IHG = I^0.35 × R^0.30 × ICT^0.20 × A^0.15</t>
  </si>
  <si>
    <t>═══ DICTAMEN FINAL ═══</t>
  </si>
  <si>
    <t>RESULTADO CERTIFICACIÓN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</si>
</sst>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\+0.00;\-0.00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3"/>
      <color rgb="FF1B2631"/>
      <name val="Calibri"/>
      <family val="2"/>
    </font>
    <font>
      <i/>
      <sz val="9"/>
      <color rgb="FF566573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color rgb="FF006100"/>
      <name val="Calibri"/>
      <family val="2"/>
    </font>
    <font>
      <b/>
      <sz val="10"/>
      <name val="Calibri"/>
      <family val="2"/>
    </font>
    <font>
      <sz val="10"/>
      <name val="Consolas"/>
      <family val="2"/>
    </font>
    <font>
      <b/>
      <sz val="14"/>
      <color rgb="FF006100"/>
      <name val="Calibri"/>
      <family val="2"/>
    </font>
    <font>
      <b/>
      <sz val="1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A5D6A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 wrapText="1"/>
    </xf>
    <xf numFmtId="167" fontId="4" fillId="4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D39"/>
  <sheetViews>
    <sheetView tabSelected="1" topLeftCell="A2" workbookViewId="0">
      <selection sqref="A1:D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4" width="42" customWidth="1"/>
  </cols>
  <sheetData>
    <row r="1" spans="1:4" x14ac:dyDescent="0.2">
      <c r="A1" s="32" t="s">
        <v>0</v>
      </c>
      <c r="B1" s="33"/>
      <c r="C1" s="33"/>
      <c r="D1" s="33"/>
    </row>
    <row r="2" spans="1:4" x14ac:dyDescent="0.2">
      <c r="A2" s="34" t="s">
        <v>1</v>
      </c>
      <c r="B2" s="33"/>
      <c r="C2" s="33"/>
      <c r="D2" s="33"/>
    </row>
    <row r="4" spans="1:4" x14ac:dyDescent="0.2">
      <c r="A4" s="32" t="s">
        <v>2</v>
      </c>
      <c r="B4" s="33"/>
      <c r="C4" s="33"/>
      <c r="D4" s="33"/>
    </row>
    <row r="5" spans="1:4" x14ac:dyDescent="0.2">
      <c r="A5" s="1"/>
      <c r="B5" s="1" t="s">
        <v>3</v>
      </c>
      <c r="C5" s="1" t="s">
        <v>4</v>
      </c>
      <c r="D5" s="1" t="s">
        <v>5</v>
      </c>
    </row>
    <row r="6" spans="1:4" x14ac:dyDescent="0.2">
      <c r="B6" s="2" t="s">
        <v>6</v>
      </c>
      <c r="C6" s="3" t="s">
        <v>7</v>
      </c>
      <c r="D6" s="3" t="s">
        <v>8</v>
      </c>
    </row>
    <row r="7" spans="1:4" x14ac:dyDescent="0.2">
      <c r="B7" s="4" t="s">
        <v>9</v>
      </c>
      <c r="C7" s="3" t="s">
        <v>10</v>
      </c>
      <c r="D7" s="3" t="s">
        <v>11</v>
      </c>
    </row>
    <row r="8" spans="1:4" x14ac:dyDescent="0.2">
      <c r="B8" s="5" t="s">
        <v>12</v>
      </c>
      <c r="C8" s="3" t="s">
        <v>13</v>
      </c>
      <c r="D8" s="3" t="s">
        <v>14</v>
      </c>
    </row>
    <row r="9" spans="1:4" x14ac:dyDescent="0.2">
      <c r="B9" s="6" t="s">
        <v>15</v>
      </c>
      <c r="C9" s="3" t="s">
        <v>16</v>
      </c>
      <c r="D9" s="3" t="s">
        <v>17</v>
      </c>
    </row>
    <row r="10" spans="1:4" x14ac:dyDescent="0.2">
      <c r="B10" s="7" t="s">
        <v>18</v>
      </c>
      <c r="C10" s="3" t="s">
        <v>19</v>
      </c>
      <c r="D10" s="3" t="s">
        <v>20</v>
      </c>
    </row>
    <row r="11" spans="1:4" x14ac:dyDescent="0.2">
      <c r="B11" s="8" t="s">
        <v>21</v>
      </c>
      <c r="C11" s="3" t="s">
        <v>22</v>
      </c>
      <c r="D11" s="3" t="s">
        <v>23</v>
      </c>
    </row>
    <row r="13" spans="1:4" x14ac:dyDescent="0.2">
      <c r="A13" s="32" t="s">
        <v>24</v>
      </c>
      <c r="B13" s="33"/>
      <c r="C13" s="33"/>
      <c r="D13" s="33"/>
    </row>
    <row r="14" spans="1:4" x14ac:dyDescent="0.2">
      <c r="A14" s="1" t="s">
        <v>25</v>
      </c>
      <c r="B14" s="1" t="s">
        <v>26</v>
      </c>
      <c r="C14" s="1" t="s">
        <v>27</v>
      </c>
      <c r="D14" s="1" t="s">
        <v>28</v>
      </c>
    </row>
    <row r="15" spans="1:4" x14ac:dyDescent="0.2">
      <c r="A15" s="3" t="s">
        <v>29</v>
      </c>
      <c r="B15" s="3" t="s">
        <v>30</v>
      </c>
      <c r="C15" s="3" t="s">
        <v>31</v>
      </c>
      <c r="D15" s="3" t="s">
        <v>32</v>
      </c>
    </row>
    <row r="16" spans="1:4" x14ac:dyDescent="0.2">
      <c r="A16" s="3" t="s">
        <v>33</v>
      </c>
      <c r="B16" s="3" t="s">
        <v>34</v>
      </c>
      <c r="C16" s="3" t="s">
        <v>35</v>
      </c>
      <c r="D16" s="3" t="s">
        <v>36</v>
      </c>
    </row>
    <row r="17" spans="1:4" x14ac:dyDescent="0.2">
      <c r="A17" s="3" t="s">
        <v>37</v>
      </c>
      <c r="B17" s="3" t="s">
        <v>38</v>
      </c>
      <c r="C17" s="3" t="s">
        <v>39</v>
      </c>
      <c r="D17" s="3" t="s">
        <v>40</v>
      </c>
    </row>
    <row r="18" spans="1:4" x14ac:dyDescent="0.2">
      <c r="A18" s="3" t="s">
        <v>41</v>
      </c>
      <c r="B18" s="3" t="s">
        <v>42</v>
      </c>
      <c r="C18" s="3" t="s">
        <v>43</v>
      </c>
      <c r="D18" s="3" t="s">
        <v>44</v>
      </c>
    </row>
    <row r="19" spans="1:4" x14ac:dyDescent="0.2">
      <c r="A19" s="3" t="s">
        <v>45</v>
      </c>
      <c r="B19" s="3" t="s">
        <v>46</v>
      </c>
      <c r="C19" s="3" t="s">
        <v>47</v>
      </c>
      <c r="D19" s="3" t="s">
        <v>48</v>
      </c>
    </row>
    <row r="20" spans="1:4" x14ac:dyDescent="0.2">
      <c r="A20" s="3" t="s">
        <v>49</v>
      </c>
      <c r="B20" s="3" t="s">
        <v>50</v>
      </c>
      <c r="C20" s="3" t="s">
        <v>51</v>
      </c>
      <c r="D20" s="3" t="s">
        <v>52</v>
      </c>
    </row>
    <row r="21" spans="1:4" x14ac:dyDescent="0.2">
      <c r="A21" s="3" t="s">
        <v>53</v>
      </c>
      <c r="B21" s="3" t="s">
        <v>54</v>
      </c>
      <c r="C21" s="3" t="s">
        <v>55</v>
      </c>
      <c r="D21" s="3" t="s">
        <v>56</v>
      </c>
    </row>
    <row r="22" spans="1:4" x14ac:dyDescent="0.2">
      <c r="A22" s="3" t="s">
        <v>57</v>
      </c>
      <c r="B22" s="3" t="s">
        <v>58</v>
      </c>
      <c r="C22" s="3" t="s">
        <v>59</v>
      </c>
      <c r="D22" s="3" t="s">
        <v>60</v>
      </c>
    </row>
    <row r="23" spans="1:4" x14ac:dyDescent="0.2">
      <c r="A23" s="3" t="s">
        <v>61</v>
      </c>
      <c r="B23" s="3" t="s">
        <v>62</v>
      </c>
      <c r="C23" s="3" t="s">
        <v>63</v>
      </c>
      <c r="D23" s="3" t="s">
        <v>64</v>
      </c>
    </row>
    <row r="24" spans="1:4" x14ac:dyDescent="0.2">
      <c r="A24" s="3" t="s">
        <v>65</v>
      </c>
      <c r="B24" s="3" t="s">
        <v>66</v>
      </c>
      <c r="C24" s="3" t="s">
        <v>67</v>
      </c>
      <c r="D24" s="3" t="s">
        <v>68</v>
      </c>
    </row>
    <row r="25" spans="1:4" x14ac:dyDescent="0.2">
      <c r="A25" s="3" t="s">
        <v>69</v>
      </c>
      <c r="B25" s="3" t="s">
        <v>70</v>
      </c>
      <c r="C25" s="3" t="s">
        <v>71</v>
      </c>
      <c r="D25" s="3" t="s">
        <v>72</v>
      </c>
    </row>
    <row r="26" spans="1:4" x14ac:dyDescent="0.2">
      <c r="A26" s="3" t="s">
        <v>73</v>
      </c>
      <c r="B26" s="3" t="s">
        <v>74</v>
      </c>
      <c r="C26" s="3" t="s">
        <v>75</v>
      </c>
      <c r="D26" s="3" t="s">
        <v>76</v>
      </c>
    </row>
    <row r="27" spans="1:4" x14ac:dyDescent="0.2">
      <c r="A27" s="3" t="s">
        <v>77</v>
      </c>
      <c r="B27" s="3" t="s">
        <v>78</v>
      </c>
      <c r="C27" s="3" t="s">
        <v>79</v>
      </c>
      <c r="D27" s="3" t="s">
        <v>80</v>
      </c>
    </row>
    <row r="29" spans="1:4" x14ac:dyDescent="0.2">
      <c r="A29" s="32" t="s">
        <v>81</v>
      </c>
      <c r="B29" s="33"/>
      <c r="C29" s="33"/>
      <c r="D29" s="33"/>
    </row>
    <row r="30" spans="1:4" x14ac:dyDescent="0.2">
      <c r="A30" s="34" t="s">
        <v>82</v>
      </c>
      <c r="B30" s="33"/>
      <c r="C30" s="33"/>
      <c r="D30" s="33"/>
    </row>
    <row r="31" spans="1:4" x14ac:dyDescent="0.2">
      <c r="A31" s="34" t="s">
        <v>83</v>
      </c>
      <c r="B31" s="33"/>
      <c r="C31" s="33"/>
      <c r="D31" s="33"/>
    </row>
    <row r="32" spans="1:4" x14ac:dyDescent="0.2">
      <c r="A32" s="34" t="s">
        <v>84</v>
      </c>
      <c r="B32" s="33"/>
      <c r="C32" s="33"/>
      <c r="D32" s="33"/>
    </row>
    <row r="33" spans="1:4" x14ac:dyDescent="0.2">
      <c r="A33" s="34" t="s">
        <v>85</v>
      </c>
      <c r="B33" s="33"/>
      <c r="C33" s="33"/>
      <c r="D33" s="33"/>
    </row>
    <row r="34" spans="1:4" x14ac:dyDescent="0.2">
      <c r="A34" s="34" t="s">
        <v>86</v>
      </c>
      <c r="B34" s="33"/>
      <c r="C34" s="33"/>
      <c r="D34" s="33"/>
    </row>
    <row r="36" spans="1:4" x14ac:dyDescent="0.2">
      <c r="A36" s="32" t="s">
        <v>87</v>
      </c>
      <c r="B36" s="33"/>
      <c r="C36" s="33"/>
      <c r="D36" s="33"/>
    </row>
    <row r="37" spans="1:4" x14ac:dyDescent="0.2">
      <c r="A37" s="34" t="s">
        <v>88</v>
      </c>
      <c r="B37" s="33"/>
      <c r="C37" s="33"/>
      <c r="D37" s="33"/>
    </row>
    <row r="38" spans="1:4" x14ac:dyDescent="0.2">
      <c r="A38" s="34" t="s">
        <v>89</v>
      </c>
      <c r="B38" s="33"/>
      <c r="C38" s="33"/>
      <c r="D38" s="33"/>
    </row>
    <row r="39" spans="1:4" x14ac:dyDescent="0.2">
      <c r="A39" s="34" t="s">
        <v>90</v>
      </c>
      <c r="B39" s="33"/>
      <c r="C39" s="33"/>
      <c r="D39" s="33"/>
    </row>
  </sheetData>
  <mergeCells count="14">
    <mergeCell ref="A38:D38"/>
    <mergeCell ref="A39:D39"/>
    <mergeCell ref="A29:D29"/>
    <mergeCell ref="A2:D2"/>
    <mergeCell ref="A33:D33"/>
    <mergeCell ref="A36:D36"/>
    <mergeCell ref="A32:D32"/>
    <mergeCell ref="A13:D13"/>
    <mergeCell ref="A1:D1"/>
    <mergeCell ref="A37:D37"/>
    <mergeCell ref="A31:D31"/>
    <mergeCell ref="A34:D34"/>
    <mergeCell ref="A4:D4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95548"/>
  </sheetPr>
  <dimension ref="A1:E39"/>
  <sheetViews>
    <sheetView workbookViewId="0"/>
  </sheetViews>
  <sheetFormatPr baseColWidth="10" defaultColWidth="8.83203125" defaultRowHeight="15" x14ac:dyDescent="0.2"/>
  <cols>
    <col min="1" max="1" width="4" customWidth="1"/>
    <col min="2" max="2" width="32" customWidth="1"/>
    <col min="3" max="3" width="35" customWidth="1"/>
    <col min="4" max="4" width="32" customWidth="1"/>
    <col min="5" max="5" width="28" customWidth="1"/>
  </cols>
  <sheetData>
    <row r="1" spans="1:5" x14ac:dyDescent="0.2">
      <c r="A1" s="32" t="s">
        <v>91</v>
      </c>
      <c r="B1" s="33"/>
      <c r="C1" s="33"/>
      <c r="D1" s="33"/>
      <c r="E1" s="33"/>
    </row>
    <row r="3" spans="1:5" x14ac:dyDescent="0.2">
      <c r="A3" s="32" t="s">
        <v>92</v>
      </c>
      <c r="B3" s="33"/>
      <c r="C3" s="33"/>
      <c r="D3" s="33"/>
      <c r="E3" s="33"/>
    </row>
    <row r="4" spans="1:5" x14ac:dyDescent="0.2">
      <c r="A4" s="1"/>
      <c r="B4" s="1" t="s">
        <v>93</v>
      </c>
      <c r="C4" s="1" t="s">
        <v>94</v>
      </c>
      <c r="D4" s="1" t="s">
        <v>95</v>
      </c>
      <c r="E4" s="1" t="s">
        <v>96</v>
      </c>
    </row>
    <row r="5" spans="1:5" ht="30" x14ac:dyDescent="0.2">
      <c r="B5" s="3" t="s">
        <v>97</v>
      </c>
      <c r="C5" s="7" t="s">
        <v>98</v>
      </c>
      <c r="D5" s="3" t="s">
        <v>99</v>
      </c>
      <c r="E5" s="3" t="s">
        <v>100</v>
      </c>
    </row>
    <row r="6" spans="1:5" ht="30" x14ac:dyDescent="0.2">
      <c r="B6" s="3" t="s">
        <v>101</v>
      </c>
      <c r="C6" s="7" t="s">
        <v>102</v>
      </c>
      <c r="D6" s="3" t="s">
        <v>103</v>
      </c>
      <c r="E6" s="3" t="s">
        <v>104</v>
      </c>
    </row>
    <row r="7" spans="1:5" x14ac:dyDescent="0.2">
      <c r="B7" s="3" t="s">
        <v>105</v>
      </c>
      <c r="C7" s="7" t="s">
        <v>106</v>
      </c>
      <c r="D7" s="3" t="s">
        <v>107</v>
      </c>
      <c r="E7" s="3" t="s">
        <v>108</v>
      </c>
    </row>
    <row r="8" spans="1:5" ht="30" x14ac:dyDescent="0.2">
      <c r="B8" s="3" t="s">
        <v>109</v>
      </c>
      <c r="C8" s="7" t="s">
        <v>110</v>
      </c>
      <c r="D8" s="3" t="s">
        <v>111</v>
      </c>
      <c r="E8" s="3" t="s">
        <v>112</v>
      </c>
    </row>
    <row r="10" spans="1:5" x14ac:dyDescent="0.2">
      <c r="A10" s="32" t="s">
        <v>113</v>
      </c>
      <c r="B10" s="33"/>
      <c r="C10" s="33"/>
      <c r="D10" s="33"/>
      <c r="E10" s="33"/>
    </row>
    <row r="11" spans="1:5" x14ac:dyDescent="0.2">
      <c r="A11" s="1"/>
      <c r="B11" s="1" t="s">
        <v>93</v>
      </c>
      <c r="C11" s="1" t="s">
        <v>114</v>
      </c>
      <c r="D11" s="1" t="s">
        <v>115</v>
      </c>
      <c r="E11" s="1"/>
    </row>
    <row r="12" spans="1:5" ht="17" x14ac:dyDescent="0.2">
      <c r="B12" s="3" t="s">
        <v>97</v>
      </c>
      <c r="C12" s="2">
        <v>1</v>
      </c>
      <c r="D12" s="9" t="str">
        <f>IF(C12=1,"✓ CUMPLE","✗ FALLA → DESCALIFICADO")</f>
        <v>✓ CUMPLE</v>
      </c>
    </row>
    <row r="13" spans="1:5" ht="17" x14ac:dyDescent="0.2">
      <c r="B13" s="3" t="s">
        <v>116</v>
      </c>
      <c r="C13" s="2">
        <v>1</v>
      </c>
      <c r="D13" s="9" t="str">
        <f>IF(C13=1,"✓ CUMPLE","✗ FALLA → DESCALIFICADO")</f>
        <v>✓ CUMPLE</v>
      </c>
    </row>
    <row r="14" spans="1:5" ht="17" x14ac:dyDescent="0.2">
      <c r="B14" s="3" t="s">
        <v>105</v>
      </c>
      <c r="C14" s="2">
        <v>1</v>
      </c>
      <c r="D14" s="9" t="str">
        <f>IF(C14=1,"✓ CUMPLE","✗ FALLA → DESCALIFICADO")</f>
        <v>✓ CUMPLE</v>
      </c>
    </row>
    <row r="15" spans="1:5" ht="17" x14ac:dyDescent="0.2">
      <c r="B15" s="3" t="s">
        <v>109</v>
      </c>
      <c r="C15" s="2">
        <v>1</v>
      </c>
      <c r="D15" s="9" t="str">
        <f>IF(C15=1,"✓ CUMPLE","✗ FALLA → DESCALIFICADO")</f>
        <v>✓ CUMPLE</v>
      </c>
    </row>
    <row r="16" spans="1:5" ht="17" x14ac:dyDescent="0.2">
      <c r="B16" s="10" t="s">
        <v>117</v>
      </c>
      <c r="C16" s="9" t="str">
        <f>IF(C12 * C13 * C14 * C15=1,"✓ TODAS CUMPLEN → PROCEDER NIVEL 2","✗ DESCALIFICADO")</f>
        <v>✓ TODAS CUMPLEN → PROCEDER NIVEL 2</v>
      </c>
    </row>
    <row r="18" spans="1:5" x14ac:dyDescent="0.2">
      <c r="A18" s="32" t="s">
        <v>118</v>
      </c>
      <c r="B18" s="33"/>
      <c r="C18" s="33"/>
      <c r="D18" s="33"/>
      <c r="E18" s="33"/>
    </row>
    <row r="19" spans="1:5" x14ac:dyDescent="0.2">
      <c r="A19" s="1"/>
      <c r="B19" s="1" t="s">
        <v>119</v>
      </c>
      <c r="C19" s="1" t="s">
        <v>120</v>
      </c>
      <c r="D19" s="1" t="s">
        <v>121</v>
      </c>
      <c r="E19" s="1" t="s">
        <v>122</v>
      </c>
    </row>
    <row r="20" spans="1:5" x14ac:dyDescent="0.2">
      <c r="B20" s="8" t="s">
        <v>123</v>
      </c>
      <c r="C20" s="8" t="s">
        <v>124</v>
      </c>
      <c r="D20" s="8" t="s">
        <v>125</v>
      </c>
      <c r="E20" s="8" t="s">
        <v>126</v>
      </c>
    </row>
    <row r="21" spans="1:5" x14ac:dyDescent="0.2">
      <c r="B21" s="11" t="s">
        <v>127</v>
      </c>
      <c r="C21" s="11" t="s">
        <v>128</v>
      </c>
      <c r="D21" s="11" t="s">
        <v>129</v>
      </c>
      <c r="E21" s="11" t="s">
        <v>130</v>
      </c>
    </row>
    <row r="22" spans="1:5" x14ac:dyDescent="0.2">
      <c r="B22" s="2" t="s">
        <v>131</v>
      </c>
      <c r="C22" s="2" t="s">
        <v>132</v>
      </c>
      <c r="D22" s="2" t="s">
        <v>133</v>
      </c>
      <c r="E22" s="2" t="s">
        <v>134</v>
      </c>
    </row>
    <row r="23" spans="1:5" x14ac:dyDescent="0.2">
      <c r="B23" s="6" t="s">
        <v>135</v>
      </c>
      <c r="C23" s="6" t="s">
        <v>136</v>
      </c>
      <c r="D23" s="6" t="s">
        <v>137</v>
      </c>
      <c r="E23" s="6" t="s">
        <v>138</v>
      </c>
    </row>
    <row r="24" spans="1:5" x14ac:dyDescent="0.2">
      <c r="B24" s="12" t="s">
        <v>139</v>
      </c>
      <c r="C24" s="12" t="s">
        <v>140</v>
      </c>
      <c r="D24" s="12" t="s">
        <v>141</v>
      </c>
      <c r="E24" s="12" t="s">
        <v>142</v>
      </c>
    </row>
    <row r="26" spans="1:5" x14ac:dyDescent="0.2">
      <c r="A26" s="32" t="s">
        <v>143</v>
      </c>
      <c r="B26" s="33"/>
      <c r="C26" s="33"/>
      <c r="D26" s="33"/>
      <c r="E26" s="33"/>
    </row>
    <row r="27" spans="1:5" x14ac:dyDescent="0.2">
      <c r="A27" s="1"/>
      <c r="B27" s="1" t="s">
        <v>144</v>
      </c>
      <c r="C27" s="1" t="s">
        <v>145</v>
      </c>
      <c r="D27" s="1" t="s">
        <v>146</v>
      </c>
      <c r="E27" s="1" t="s">
        <v>147</v>
      </c>
    </row>
    <row r="28" spans="1:5" x14ac:dyDescent="0.2">
      <c r="B28" s="7" t="s">
        <v>148</v>
      </c>
      <c r="C28" s="3" t="s">
        <v>149</v>
      </c>
      <c r="D28" s="3" t="s">
        <v>150</v>
      </c>
      <c r="E28" s="3" t="s">
        <v>151</v>
      </c>
    </row>
    <row r="29" spans="1:5" x14ac:dyDescent="0.2">
      <c r="B29" s="7" t="s">
        <v>152</v>
      </c>
      <c r="C29" s="3" t="s">
        <v>153</v>
      </c>
      <c r="D29" s="3" t="s">
        <v>154</v>
      </c>
      <c r="E29" s="3" t="s">
        <v>151</v>
      </c>
    </row>
    <row r="30" spans="1:5" x14ac:dyDescent="0.2">
      <c r="B30" s="7" t="s">
        <v>155</v>
      </c>
      <c r="C30" s="3" t="s">
        <v>156</v>
      </c>
      <c r="D30" s="3" t="s">
        <v>157</v>
      </c>
      <c r="E30" s="3" t="s">
        <v>158</v>
      </c>
    </row>
    <row r="31" spans="1:5" x14ac:dyDescent="0.2">
      <c r="B31" s="7" t="s">
        <v>159</v>
      </c>
      <c r="C31" s="3" t="s">
        <v>160</v>
      </c>
      <c r="D31" s="3" t="s">
        <v>161</v>
      </c>
      <c r="E31" s="3" t="s">
        <v>162</v>
      </c>
    </row>
    <row r="33" spans="1:5" x14ac:dyDescent="0.2">
      <c r="A33" s="32" t="s">
        <v>163</v>
      </c>
      <c r="B33" s="33"/>
      <c r="C33" s="33"/>
      <c r="D33" s="33"/>
      <c r="E33" s="33"/>
    </row>
    <row r="34" spans="1:5" x14ac:dyDescent="0.2">
      <c r="A34" s="1"/>
      <c r="B34" s="1" t="s">
        <v>164</v>
      </c>
      <c r="C34" s="1" t="s">
        <v>165</v>
      </c>
      <c r="D34" s="1" t="s">
        <v>166</v>
      </c>
      <c r="E34" s="1" t="s">
        <v>167</v>
      </c>
    </row>
    <row r="35" spans="1:5" ht="30" x14ac:dyDescent="0.2">
      <c r="B35" s="3" t="s">
        <v>168</v>
      </c>
      <c r="C35" s="3" t="s">
        <v>169</v>
      </c>
      <c r="D35" s="3" t="s">
        <v>170</v>
      </c>
      <c r="E35" s="3" t="s">
        <v>171</v>
      </c>
    </row>
    <row r="36" spans="1:5" ht="30" x14ac:dyDescent="0.2">
      <c r="B36" s="3" t="s">
        <v>172</v>
      </c>
      <c r="C36" s="3" t="s">
        <v>173</v>
      </c>
      <c r="D36" s="3" t="s">
        <v>174</v>
      </c>
      <c r="E36" s="3" t="s">
        <v>175</v>
      </c>
    </row>
    <row r="37" spans="1:5" x14ac:dyDescent="0.2">
      <c r="B37" s="3" t="s">
        <v>176</v>
      </c>
      <c r="C37" s="3" t="s">
        <v>177</v>
      </c>
      <c r="D37" s="3" t="s">
        <v>178</v>
      </c>
      <c r="E37" s="3" t="s">
        <v>179</v>
      </c>
    </row>
    <row r="38" spans="1:5" ht="30" x14ac:dyDescent="0.2">
      <c r="B38" s="3" t="s">
        <v>180</v>
      </c>
      <c r="C38" s="3" t="s">
        <v>181</v>
      </c>
      <c r="D38" s="3" t="s">
        <v>182</v>
      </c>
      <c r="E38" s="3" t="s">
        <v>183</v>
      </c>
    </row>
    <row r="39" spans="1:5" ht="30" x14ac:dyDescent="0.2">
      <c r="B39" s="3" t="s">
        <v>184</v>
      </c>
      <c r="C39" s="3" t="s">
        <v>185</v>
      </c>
      <c r="D39" s="3" t="s">
        <v>186</v>
      </c>
      <c r="E39" s="3" t="s">
        <v>187</v>
      </c>
    </row>
  </sheetData>
  <mergeCells count="6">
    <mergeCell ref="A26:E26"/>
    <mergeCell ref="A10:E10"/>
    <mergeCell ref="A33:E33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F31"/>
  <sheetViews>
    <sheetView workbookViewId="0"/>
  </sheetViews>
  <sheetFormatPr baseColWidth="10" defaultColWidth="8.83203125" defaultRowHeight="15" x14ac:dyDescent="0.2"/>
  <cols>
    <col min="1" max="1" width="4" customWidth="1"/>
    <col min="2" max="2" width="38" customWidth="1"/>
    <col min="3" max="3" width="35" customWidth="1"/>
    <col min="4" max="4" width="28" customWidth="1"/>
    <col min="5" max="5" width="20" customWidth="1"/>
    <col min="6" max="6" width="18" customWidth="1"/>
  </cols>
  <sheetData>
    <row r="1" spans="1:6" x14ac:dyDescent="0.2">
      <c r="A1" s="32" t="s">
        <v>188</v>
      </c>
      <c r="B1" s="33"/>
      <c r="C1" s="33"/>
      <c r="D1" s="33"/>
      <c r="E1" s="33"/>
      <c r="F1" s="33"/>
    </row>
    <row r="3" spans="1:6" x14ac:dyDescent="0.2">
      <c r="A3" s="32" t="s">
        <v>189</v>
      </c>
      <c r="B3" s="33"/>
      <c r="C3" s="33"/>
      <c r="D3" s="33"/>
      <c r="E3" s="33"/>
      <c r="F3" s="33"/>
    </row>
    <row r="4" spans="1:6" x14ac:dyDescent="0.2">
      <c r="A4" s="1" t="s">
        <v>25</v>
      </c>
      <c r="B4" s="1" t="s">
        <v>190</v>
      </c>
      <c r="C4" s="1" t="s">
        <v>191</v>
      </c>
      <c r="D4" s="1" t="s">
        <v>4</v>
      </c>
      <c r="E4" s="1" t="s">
        <v>192</v>
      </c>
      <c r="F4" s="1"/>
    </row>
    <row r="5" spans="1:6" x14ac:dyDescent="0.2">
      <c r="A5" s="3">
        <v>1</v>
      </c>
      <c r="B5" s="3" t="s">
        <v>193</v>
      </c>
      <c r="C5" s="13" t="s">
        <v>194</v>
      </c>
      <c r="D5" s="3" t="s">
        <v>195</v>
      </c>
      <c r="E5" s="3" t="s">
        <v>196</v>
      </c>
    </row>
    <row r="6" spans="1:6" x14ac:dyDescent="0.2">
      <c r="A6" s="3">
        <v>2</v>
      </c>
      <c r="B6" s="3" t="s">
        <v>197</v>
      </c>
      <c r="C6" s="13" t="s">
        <v>198</v>
      </c>
      <c r="D6" s="3" t="s">
        <v>199</v>
      </c>
      <c r="E6" s="3" t="s">
        <v>196</v>
      </c>
    </row>
    <row r="7" spans="1:6" x14ac:dyDescent="0.2">
      <c r="A7" s="3">
        <v>3</v>
      </c>
      <c r="B7" s="3" t="s">
        <v>200</v>
      </c>
      <c r="C7" s="13" t="s">
        <v>201</v>
      </c>
      <c r="D7" s="3" t="s">
        <v>202</v>
      </c>
      <c r="E7" s="3" t="s">
        <v>196</v>
      </c>
    </row>
    <row r="8" spans="1:6" x14ac:dyDescent="0.2">
      <c r="A8" s="3">
        <v>4</v>
      </c>
      <c r="B8" s="3" t="s">
        <v>203</v>
      </c>
      <c r="C8" s="13" t="s">
        <v>204</v>
      </c>
      <c r="D8" s="3" t="s">
        <v>205</v>
      </c>
      <c r="E8" s="3" t="s">
        <v>196</v>
      </c>
    </row>
    <row r="10" spans="1:6" x14ac:dyDescent="0.2">
      <c r="A10" s="32" t="s">
        <v>206</v>
      </c>
      <c r="B10" s="33"/>
      <c r="C10" s="33"/>
      <c r="D10" s="33"/>
      <c r="E10" s="33"/>
      <c r="F10" s="33"/>
    </row>
    <row r="11" spans="1:6" x14ac:dyDescent="0.2">
      <c r="A11" s="1" t="s">
        <v>25</v>
      </c>
      <c r="B11" s="1" t="s">
        <v>145</v>
      </c>
      <c r="C11" s="1" t="s">
        <v>191</v>
      </c>
      <c r="D11" s="1" t="s">
        <v>207</v>
      </c>
      <c r="E11" s="1" t="s">
        <v>192</v>
      </c>
      <c r="F11" s="1"/>
    </row>
    <row r="12" spans="1:6" x14ac:dyDescent="0.2">
      <c r="A12" s="3">
        <v>1</v>
      </c>
      <c r="B12" s="3" t="s">
        <v>208</v>
      </c>
      <c r="C12" s="13" t="s">
        <v>209</v>
      </c>
      <c r="D12" s="3" t="s">
        <v>150</v>
      </c>
      <c r="E12" s="3" t="s">
        <v>210</v>
      </c>
    </row>
    <row r="13" spans="1:6" x14ac:dyDescent="0.2">
      <c r="A13" s="3">
        <v>2</v>
      </c>
      <c r="B13" s="3" t="s">
        <v>211</v>
      </c>
      <c r="C13" s="13" t="s">
        <v>212</v>
      </c>
      <c r="D13" s="3" t="s">
        <v>213</v>
      </c>
      <c r="E13" s="3" t="s">
        <v>214</v>
      </c>
    </row>
    <row r="14" spans="1:6" x14ac:dyDescent="0.2">
      <c r="A14" s="3">
        <v>3</v>
      </c>
      <c r="B14" s="3" t="s">
        <v>215</v>
      </c>
      <c r="C14" s="13" t="s">
        <v>216</v>
      </c>
      <c r="D14" s="3" t="s">
        <v>217</v>
      </c>
      <c r="E14" s="3" t="s">
        <v>218</v>
      </c>
    </row>
    <row r="16" spans="1:6" x14ac:dyDescent="0.2">
      <c r="A16" s="32" t="s">
        <v>219</v>
      </c>
      <c r="B16" s="33"/>
      <c r="C16" s="33"/>
      <c r="D16" s="33"/>
      <c r="E16" s="33"/>
      <c r="F16" s="33"/>
    </row>
    <row r="17" spans="1:6" x14ac:dyDescent="0.2">
      <c r="A17" s="1" t="s">
        <v>25</v>
      </c>
      <c r="B17" s="1" t="s">
        <v>220</v>
      </c>
      <c r="C17" s="1" t="s">
        <v>221</v>
      </c>
      <c r="D17" s="1" t="s">
        <v>222</v>
      </c>
      <c r="E17" s="1"/>
      <c r="F17" s="1"/>
    </row>
    <row r="18" spans="1:6" x14ac:dyDescent="0.2">
      <c r="A18" s="8">
        <v>1</v>
      </c>
      <c r="B18" s="8" t="s">
        <v>127</v>
      </c>
      <c r="C18" s="8" t="s">
        <v>223</v>
      </c>
      <c r="D18" s="8" t="s">
        <v>224</v>
      </c>
    </row>
    <row r="19" spans="1:6" x14ac:dyDescent="0.2">
      <c r="A19" s="11">
        <v>2</v>
      </c>
      <c r="B19" s="11" t="s">
        <v>225</v>
      </c>
      <c r="C19" s="11" t="s">
        <v>226</v>
      </c>
      <c r="D19" s="11" t="s">
        <v>227</v>
      </c>
    </row>
    <row r="20" spans="1:6" x14ac:dyDescent="0.2">
      <c r="A20" s="2">
        <v>3</v>
      </c>
      <c r="B20" s="2" t="s">
        <v>131</v>
      </c>
      <c r="C20" s="2" t="s">
        <v>228</v>
      </c>
      <c r="D20" s="2" t="s">
        <v>229</v>
      </c>
    </row>
    <row r="21" spans="1:6" x14ac:dyDescent="0.2">
      <c r="A21" s="6">
        <v>4</v>
      </c>
      <c r="B21" s="6" t="s">
        <v>135</v>
      </c>
      <c r="C21" s="6" t="s">
        <v>230</v>
      </c>
      <c r="D21" s="6" t="s">
        <v>231</v>
      </c>
    </row>
    <row r="22" spans="1:6" x14ac:dyDescent="0.2">
      <c r="A22" s="12">
        <v>5</v>
      </c>
      <c r="B22" s="12" t="s">
        <v>139</v>
      </c>
      <c r="C22" s="12" t="s">
        <v>232</v>
      </c>
      <c r="D22" s="12" t="s">
        <v>233</v>
      </c>
    </row>
    <row r="24" spans="1:6" x14ac:dyDescent="0.2">
      <c r="A24" s="32" t="s">
        <v>234</v>
      </c>
      <c r="B24" s="33"/>
      <c r="C24" s="33"/>
      <c r="D24" s="33"/>
      <c r="E24" s="33"/>
      <c r="F24" s="33"/>
    </row>
    <row r="25" spans="1:6" x14ac:dyDescent="0.2">
      <c r="A25" s="34" t="s">
        <v>235</v>
      </c>
      <c r="B25" s="33"/>
      <c r="C25" s="33"/>
      <c r="D25" s="33"/>
      <c r="E25" s="33"/>
      <c r="F25" s="33"/>
    </row>
    <row r="26" spans="1:6" x14ac:dyDescent="0.2">
      <c r="A26" s="1" t="s">
        <v>25</v>
      </c>
      <c r="B26" s="1" t="s">
        <v>236</v>
      </c>
      <c r="C26" s="1" t="s">
        <v>237</v>
      </c>
      <c r="D26" s="1" t="s">
        <v>238</v>
      </c>
      <c r="E26" s="1"/>
      <c r="F26" s="1"/>
    </row>
    <row r="27" spans="1:6" x14ac:dyDescent="0.2">
      <c r="A27" s="3">
        <v>1</v>
      </c>
      <c r="B27" s="7" t="s">
        <v>239</v>
      </c>
      <c r="C27" s="3" t="s">
        <v>240</v>
      </c>
      <c r="D27" s="3" t="s">
        <v>241</v>
      </c>
    </row>
    <row r="28" spans="1:6" x14ac:dyDescent="0.2">
      <c r="A28" s="3">
        <v>2</v>
      </c>
      <c r="B28" s="7" t="s">
        <v>242</v>
      </c>
      <c r="C28" s="3" t="s">
        <v>243</v>
      </c>
      <c r="D28" s="3" t="s">
        <v>244</v>
      </c>
    </row>
    <row r="29" spans="1:6" x14ac:dyDescent="0.2">
      <c r="A29" s="3">
        <v>3</v>
      </c>
      <c r="B29" s="7" t="s">
        <v>245</v>
      </c>
      <c r="C29" s="3" t="s">
        <v>246</v>
      </c>
      <c r="D29" s="3" t="s">
        <v>247</v>
      </c>
    </row>
    <row r="30" spans="1:6" x14ac:dyDescent="0.2">
      <c r="A30" s="3">
        <v>4</v>
      </c>
      <c r="B30" s="7" t="s">
        <v>248</v>
      </c>
      <c r="C30" s="3" t="s">
        <v>249</v>
      </c>
      <c r="D30" s="3" t="s">
        <v>250</v>
      </c>
    </row>
    <row r="31" spans="1:6" x14ac:dyDescent="0.2">
      <c r="A31" s="3">
        <v>5</v>
      </c>
      <c r="B31" s="7" t="s">
        <v>251</v>
      </c>
      <c r="C31" s="3" t="s">
        <v>252</v>
      </c>
      <c r="D31" s="3" t="s">
        <v>253</v>
      </c>
    </row>
  </sheetData>
  <mergeCells count="6">
    <mergeCell ref="A25:F25"/>
    <mergeCell ref="A24:F24"/>
    <mergeCell ref="A16:F16"/>
    <mergeCell ref="A10:F10"/>
    <mergeCell ref="A1:F1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C1"/>
  </sheetPr>
  <dimension ref="A1:J52"/>
  <sheetViews>
    <sheetView workbookViewId="0"/>
  </sheetViews>
  <sheetFormatPr baseColWidth="10" defaultColWidth="8.83203125" defaultRowHeight="15" x14ac:dyDescent="0.2"/>
  <cols>
    <col min="1" max="1" width="4" customWidth="1"/>
    <col min="2" max="2" width="20" customWidth="1"/>
    <col min="3" max="5" width="14" customWidth="1"/>
    <col min="6" max="6" width="4" customWidth="1"/>
    <col min="7" max="8" width="18" customWidth="1"/>
    <col min="9" max="9" width="4" customWidth="1"/>
    <col min="10" max="10" width="30" customWidth="1"/>
  </cols>
  <sheetData>
    <row r="1" spans="1:10" x14ac:dyDescent="0.2">
      <c r="A1" s="32" t="s">
        <v>254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x14ac:dyDescent="0.2">
      <c r="A3" s="32" t="s">
        <v>255</v>
      </c>
      <c r="B3" s="33"/>
      <c r="C3" s="33"/>
      <c r="D3" s="33"/>
      <c r="E3" s="33"/>
    </row>
    <row r="4" spans="1:10" x14ac:dyDescent="0.2">
      <c r="B4" s="3" t="s">
        <v>256</v>
      </c>
      <c r="C4" s="14">
        <v>72</v>
      </c>
      <c r="D4" s="3" t="s">
        <v>257</v>
      </c>
      <c r="E4" s="3" t="s">
        <v>258</v>
      </c>
    </row>
    <row r="6" spans="1:10" x14ac:dyDescent="0.2">
      <c r="A6" s="32" t="s">
        <v>259</v>
      </c>
      <c r="B6" s="33"/>
      <c r="C6" s="33"/>
      <c r="D6" s="33"/>
      <c r="E6" s="33"/>
    </row>
    <row r="7" spans="1:10" x14ac:dyDescent="0.2">
      <c r="B7" s="3" t="s">
        <v>260</v>
      </c>
      <c r="C7" s="14">
        <v>15</v>
      </c>
      <c r="J7" s="3" t="s">
        <v>261</v>
      </c>
    </row>
    <row r="8" spans="1:10" x14ac:dyDescent="0.2">
      <c r="B8" s="3" t="s">
        <v>262</v>
      </c>
      <c r="C8" s="14">
        <v>8</v>
      </c>
      <c r="J8" s="3" t="s">
        <v>263</v>
      </c>
    </row>
    <row r="9" spans="1:10" ht="30" x14ac:dyDescent="0.2">
      <c r="B9" s="3" t="s">
        <v>264</v>
      </c>
      <c r="C9" s="14">
        <v>-5</v>
      </c>
      <c r="J9" s="3" t="s">
        <v>265</v>
      </c>
    </row>
    <row r="10" spans="1:10" x14ac:dyDescent="0.2">
      <c r="B10" s="10" t="s">
        <v>266</v>
      </c>
      <c r="C10" s="15">
        <f>C7+C8+C9</f>
        <v>18</v>
      </c>
    </row>
    <row r="12" spans="1:10" x14ac:dyDescent="0.2">
      <c r="A12" s="32" t="s">
        <v>267</v>
      </c>
      <c r="B12" s="33"/>
      <c r="C12" s="33"/>
      <c r="D12" s="33"/>
      <c r="E12" s="33"/>
    </row>
    <row r="13" spans="1:10" ht="17" x14ac:dyDescent="0.2">
      <c r="B13" s="10" t="s">
        <v>268</v>
      </c>
      <c r="C13" s="16">
        <f>C4+C10</f>
        <v>90</v>
      </c>
      <c r="J13" s="3" t="s">
        <v>269</v>
      </c>
    </row>
    <row r="16" spans="1:10" x14ac:dyDescent="0.2">
      <c r="A16" s="32" t="s">
        <v>270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x14ac:dyDescent="0.2">
      <c r="A17" s="34" t="s">
        <v>271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 x14ac:dyDescent="0.2">
      <c r="A18" s="1"/>
      <c r="B18" s="1" t="s">
        <v>272</v>
      </c>
      <c r="C18" s="1" t="s">
        <v>273</v>
      </c>
      <c r="D18" s="1" t="s">
        <v>198</v>
      </c>
      <c r="E18" s="1" t="s">
        <v>274</v>
      </c>
      <c r="F18" s="1"/>
      <c r="G18" s="1" t="s">
        <v>275</v>
      </c>
      <c r="H18" s="1" t="s">
        <v>276</v>
      </c>
      <c r="I18" s="1"/>
      <c r="J18" s="1" t="s">
        <v>277</v>
      </c>
    </row>
    <row r="19" spans="1:10" x14ac:dyDescent="0.2">
      <c r="B19" s="3">
        <v>1</v>
      </c>
      <c r="C19" s="17">
        <v>0.82</v>
      </c>
      <c r="D19" s="17">
        <v>0.55000000000000004</v>
      </c>
      <c r="E19" s="17">
        <v>0.27</v>
      </c>
      <c r="G19" s="18">
        <f t="shared" ref="G19:G28" si="0">C19-C$30</f>
        <v>8.8999999999999857E-2</v>
      </c>
      <c r="H19" s="18">
        <f t="shared" ref="H19:H28" si="1">E19-E$30</f>
        <v>8.1000000000000016E-2</v>
      </c>
    </row>
    <row r="20" spans="1:10" x14ac:dyDescent="0.2">
      <c r="B20" s="3">
        <v>2</v>
      </c>
      <c r="C20" s="17">
        <v>0.91</v>
      </c>
      <c r="D20" s="17">
        <v>0.6</v>
      </c>
      <c r="E20" s="17">
        <v>0.31</v>
      </c>
      <c r="G20" s="18">
        <f t="shared" si="0"/>
        <v>0.17899999999999994</v>
      </c>
      <c r="H20" s="18">
        <f t="shared" si="1"/>
        <v>0.121</v>
      </c>
    </row>
    <row r="21" spans="1:10" x14ac:dyDescent="0.2">
      <c r="B21" s="3">
        <v>3</v>
      </c>
      <c r="C21" s="17">
        <v>0.45</v>
      </c>
      <c r="D21" s="17">
        <v>0.5</v>
      </c>
      <c r="E21" s="17">
        <v>-0.05</v>
      </c>
      <c r="G21" s="18">
        <f t="shared" si="0"/>
        <v>-0.28100000000000008</v>
      </c>
      <c r="H21" s="18">
        <f t="shared" si="1"/>
        <v>-0.23899999999999999</v>
      </c>
    </row>
    <row r="22" spans="1:10" x14ac:dyDescent="0.2">
      <c r="B22" s="3">
        <v>4</v>
      </c>
      <c r="C22" s="17">
        <v>0.78</v>
      </c>
      <c r="D22" s="17">
        <v>0.57999999999999996</v>
      </c>
      <c r="E22" s="17">
        <v>0.2</v>
      </c>
      <c r="G22" s="18">
        <f t="shared" si="0"/>
        <v>4.8999999999999932E-2</v>
      </c>
      <c r="H22" s="18">
        <f t="shared" si="1"/>
        <v>1.100000000000001E-2</v>
      </c>
    </row>
    <row r="23" spans="1:10" x14ac:dyDescent="0.2">
      <c r="B23" s="3">
        <v>5</v>
      </c>
      <c r="C23" s="17">
        <v>0.93</v>
      </c>
      <c r="D23" s="17">
        <v>0.52</v>
      </c>
      <c r="E23" s="17">
        <v>0.41</v>
      </c>
      <c r="G23" s="18">
        <f t="shared" si="0"/>
        <v>0.19899999999999995</v>
      </c>
      <c r="H23" s="18">
        <f t="shared" si="1"/>
        <v>0.22099999999999997</v>
      </c>
    </row>
    <row r="24" spans="1:10" x14ac:dyDescent="0.2">
      <c r="B24" s="3">
        <v>6</v>
      </c>
      <c r="C24" s="17">
        <v>0.3</v>
      </c>
      <c r="D24" s="17">
        <v>0.48</v>
      </c>
      <c r="E24" s="17">
        <v>-0.18</v>
      </c>
      <c r="G24" s="18">
        <f t="shared" si="0"/>
        <v>-0.43100000000000011</v>
      </c>
      <c r="H24" s="18">
        <f t="shared" si="1"/>
        <v>-0.36899999999999999</v>
      </c>
    </row>
    <row r="25" spans="1:10" x14ac:dyDescent="0.2">
      <c r="B25" s="3">
        <v>7</v>
      </c>
      <c r="C25" s="17">
        <v>0.87</v>
      </c>
      <c r="D25" s="17">
        <v>0.55000000000000004</v>
      </c>
      <c r="E25" s="17">
        <v>0.32</v>
      </c>
      <c r="G25" s="18">
        <f t="shared" si="0"/>
        <v>0.1389999999999999</v>
      </c>
      <c r="H25" s="18">
        <f t="shared" si="1"/>
        <v>0.13100000000000001</v>
      </c>
    </row>
    <row r="26" spans="1:10" x14ac:dyDescent="0.2">
      <c r="B26" s="3">
        <v>8</v>
      </c>
      <c r="C26" s="17">
        <v>0.65</v>
      </c>
      <c r="D26" s="17">
        <v>0.56999999999999995</v>
      </c>
      <c r="E26" s="17">
        <v>0.08</v>
      </c>
      <c r="G26" s="18">
        <f t="shared" si="0"/>
        <v>-8.1000000000000072E-2</v>
      </c>
      <c r="H26" s="18">
        <f t="shared" si="1"/>
        <v>-0.109</v>
      </c>
    </row>
    <row r="27" spans="1:10" x14ac:dyDescent="0.2">
      <c r="B27" s="3">
        <v>9</v>
      </c>
      <c r="C27" s="17">
        <v>0.88</v>
      </c>
      <c r="D27" s="17">
        <v>0.54</v>
      </c>
      <c r="E27" s="17">
        <v>0.34</v>
      </c>
      <c r="G27" s="18">
        <f t="shared" si="0"/>
        <v>0.14899999999999991</v>
      </c>
      <c r="H27" s="18">
        <f t="shared" si="1"/>
        <v>0.15100000000000002</v>
      </c>
    </row>
    <row r="28" spans="1:10" x14ac:dyDescent="0.2">
      <c r="B28" s="3">
        <v>10</v>
      </c>
      <c r="C28" s="17">
        <v>0.72</v>
      </c>
      <c r="D28" s="17">
        <v>0.53</v>
      </c>
      <c r="E28" s="17">
        <v>0.19</v>
      </c>
      <c r="G28" s="18">
        <f t="shared" si="0"/>
        <v>-1.1000000000000121E-2</v>
      </c>
      <c r="H28" s="18">
        <f t="shared" si="1"/>
        <v>1.0000000000000009E-3</v>
      </c>
    </row>
    <row r="30" spans="1:10" x14ac:dyDescent="0.2">
      <c r="B30" s="10" t="s">
        <v>278</v>
      </c>
      <c r="C30" s="18">
        <f>AVERAGE(C19:C28)</f>
        <v>0.73100000000000009</v>
      </c>
      <c r="E30" s="18">
        <f>AVERAGE(E19:E28)</f>
        <v>0.189</v>
      </c>
      <c r="J30" s="3" t="s">
        <v>279</v>
      </c>
    </row>
    <row r="31" spans="1:10" x14ac:dyDescent="0.2">
      <c r="B31" s="10" t="s">
        <v>280</v>
      </c>
      <c r="C31" s="18" t="e">
        <f ca="1">_xludf.VAR.P(C19:C28)</f>
        <v>#NAME?</v>
      </c>
      <c r="E31" s="18" t="e">
        <f ca="1">_xludf.VAR.P(E19:E28)</f>
        <v>#NAME?</v>
      </c>
      <c r="J31" s="3" t="s">
        <v>281</v>
      </c>
    </row>
    <row r="33" spans="1:10" ht="17" x14ac:dyDescent="0.2">
      <c r="B33" s="10" t="s">
        <v>282</v>
      </c>
      <c r="C33" s="19" t="e">
        <f ca="1">E31/C31</f>
        <v>#NAME?</v>
      </c>
      <c r="E33" s="3" t="s">
        <v>283</v>
      </c>
      <c r="G33" s="9" t="e">
        <f ca="1">IF(C33&gt;=0.7,"✓ CUMPLE","✗ NO CUMPLE")</f>
        <v>#NAME?</v>
      </c>
      <c r="J33" s="3" t="s">
        <v>284</v>
      </c>
    </row>
    <row r="34" spans="1:10" ht="17" x14ac:dyDescent="0.2">
      <c r="B34" s="3" t="s">
        <v>285</v>
      </c>
      <c r="C34" s="9" t="e">
        <f ca="1">IF(C33&lt;0.3,"Insuficiente",IF(C33&lt;0.5,"Básico",IF(C33&lt;0.7,"Aceptable",IF(C33&lt;0.85,"Bueno","Excelente"))))</f>
        <v>#NAME?</v>
      </c>
    </row>
    <row r="35" spans="1:10" ht="17" x14ac:dyDescent="0.2">
      <c r="B35" s="3" t="s">
        <v>286</v>
      </c>
      <c r="C35" s="9" t="e">
        <f ca="1">IF(E31&gt;=0.005,"✓ Var(h)≥0.005","✗ Piso no superado")</f>
        <v>#NAME?</v>
      </c>
    </row>
    <row r="38" spans="1:10" x14ac:dyDescent="0.2">
      <c r="A38" s="32" t="s">
        <v>287</v>
      </c>
      <c r="B38" s="33"/>
      <c r="C38" s="33"/>
      <c r="D38" s="33"/>
      <c r="E38" s="33"/>
      <c r="F38" s="33"/>
      <c r="G38" s="33"/>
      <c r="H38" s="33"/>
      <c r="I38" s="33"/>
      <c r="J38" s="33"/>
    </row>
    <row r="39" spans="1:10" x14ac:dyDescent="0.2">
      <c r="A39" s="34" t="s">
        <v>288</v>
      </c>
      <c r="B39" s="33"/>
      <c r="C39" s="33"/>
      <c r="D39" s="33"/>
      <c r="E39" s="33"/>
      <c r="F39" s="33"/>
      <c r="G39" s="33"/>
      <c r="H39" s="33"/>
      <c r="I39" s="33"/>
      <c r="J39" s="33"/>
    </row>
    <row r="40" spans="1:10" x14ac:dyDescent="0.2">
      <c r="A40" s="1"/>
      <c r="B40" s="1" t="s">
        <v>272</v>
      </c>
      <c r="C40" s="1" t="s">
        <v>274</v>
      </c>
      <c r="D40" s="1" t="s">
        <v>289</v>
      </c>
      <c r="E40" s="1"/>
      <c r="F40" s="1"/>
      <c r="G40" s="1"/>
      <c r="H40" s="1"/>
      <c r="I40" s="1"/>
      <c r="J40" s="1"/>
    </row>
    <row r="41" spans="1:10" x14ac:dyDescent="0.2">
      <c r="B41" s="3">
        <v>1</v>
      </c>
      <c r="C41" s="17">
        <v>0.27</v>
      </c>
      <c r="D41" s="17">
        <v>0.8</v>
      </c>
    </row>
    <row r="42" spans="1:10" x14ac:dyDescent="0.2">
      <c r="B42" s="3">
        <v>2</v>
      </c>
      <c r="C42" s="17">
        <v>0.31</v>
      </c>
      <c r="D42" s="17">
        <v>0.85</v>
      </c>
    </row>
    <row r="43" spans="1:10" x14ac:dyDescent="0.2">
      <c r="B43" s="3">
        <v>3</v>
      </c>
      <c r="C43" s="17">
        <v>-0.05</v>
      </c>
      <c r="D43" s="17">
        <v>0.4</v>
      </c>
    </row>
    <row r="44" spans="1:10" x14ac:dyDescent="0.2">
      <c r="B44" s="3">
        <v>4</v>
      </c>
      <c r="C44" s="17">
        <v>0.2</v>
      </c>
      <c r="D44" s="17">
        <v>0.7</v>
      </c>
    </row>
    <row r="45" spans="1:10" x14ac:dyDescent="0.2">
      <c r="B45" s="3">
        <v>5</v>
      </c>
      <c r="C45" s="17">
        <v>0.41</v>
      </c>
      <c r="D45" s="17">
        <v>0.9</v>
      </c>
    </row>
    <row r="46" spans="1:10" x14ac:dyDescent="0.2">
      <c r="B46" s="3">
        <v>6</v>
      </c>
      <c r="C46" s="17">
        <v>-0.18</v>
      </c>
      <c r="D46" s="17">
        <v>0.25</v>
      </c>
    </row>
    <row r="47" spans="1:10" x14ac:dyDescent="0.2">
      <c r="B47" s="3">
        <v>7</v>
      </c>
      <c r="C47" s="17">
        <v>0.32</v>
      </c>
      <c r="D47" s="17">
        <v>0.88</v>
      </c>
    </row>
    <row r="48" spans="1:10" x14ac:dyDescent="0.2">
      <c r="B48" s="3">
        <v>8</v>
      </c>
      <c r="C48" s="17">
        <v>0.08</v>
      </c>
      <c r="D48" s="17">
        <v>0.55000000000000004</v>
      </c>
    </row>
    <row r="49" spans="2:10" x14ac:dyDescent="0.2">
      <c r="B49" s="3">
        <v>9</v>
      </c>
      <c r="C49" s="17">
        <v>0.34</v>
      </c>
      <c r="D49" s="17">
        <v>0.82</v>
      </c>
    </row>
    <row r="50" spans="2:10" x14ac:dyDescent="0.2">
      <c r="B50" s="3">
        <v>10</v>
      </c>
      <c r="C50" s="17">
        <v>0.19</v>
      </c>
      <c r="D50" s="17">
        <v>0.65</v>
      </c>
    </row>
    <row r="52" spans="2:10" ht="17" x14ac:dyDescent="0.2">
      <c r="B52" s="10" t="s">
        <v>290</v>
      </c>
      <c r="C52" s="19">
        <f>CORREL(C41:C50,D41:D50)</f>
        <v>0.99133311919890366</v>
      </c>
      <c r="E52" s="3" t="s">
        <v>291</v>
      </c>
      <c r="G52" s="9" t="str">
        <f>IF(C52&gt;=0.3,"✓ CUMPLE","✗ NO CUMPLE")</f>
        <v>✓ CUMPLE</v>
      </c>
      <c r="J52" s="3" t="s">
        <v>292</v>
      </c>
    </row>
  </sheetData>
  <mergeCells count="8">
    <mergeCell ref="A1:J1"/>
    <mergeCell ref="A12:E12"/>
    <mergeCell ref="A17:J17"/>
    <mergeCell ref="A39:J39"/>
    <mergeCell ref="A38:J38"/>
    <mergeCell ref="A16:J16"/>
    <mergeCell ref="A6:E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36"/>
  <sheetViews>
    <sheetView workbookViewId="0"/>
  </sheetViews>
  <sheetFormatPr baseColWidth="10" defaultColWidth="8.83203125" defaultRowHeight="15" x14ac:dyDescent="0.2"/>
  <cols>
    <col min="1" max="1" width="4" customWidth="1"/>
    <col min="2" max="2" width="38" customWidth="1"/>
    <col min="3" max="3" width="35" customWidth="1"/>
    <col min="4" max="4" width="28" customWidth="1"/>
    <col min="5" max="5" width="20" customWidth="1"/>
  </cols>
  <sheetData>
    <row r="1" spans="1:5" x14ac:dyDescent="0.2">
      <c r="A1" s="32" t="s">
        <v>293</v>
      </c>
      <c r="B1" s="33"/>
      <c r="C1" s="33"/>
      <c r="D1" s="33"/>
      <c r="E1" s="33"/>
    </row>
    <row r="3" spans="1:5" x14ac:dyDescent="0.2">
      <c r="A3" s="32" t="s">
        <v>294</v>
      </c>
      <c r="B3" s="33"/>
      <c r="C3" s="33"/>
      <c r="D3" s="33"/>
      <c r="E3" s="33"/>
    </row>
    <row r="4" spans="1:5" x14ac:dyDescent="0.2">
      <c r="A4" s="1" t="s">
        <v>25</v>
      </c>
      <c r="B4" s="1" t="s">
        <v>145</v>
      </c>
      <c r="C4" s="1" t="s">
        <v>191</v>
      </c>
      <c r="D4" s="1" t="s">
        <v>4</v>
      </c>
      <c r="E4" s="1" t="s">
        <v>192</v>
      </c>
    </row>
    <row r="5" spans="1:5" ht="30" x14ac:dyDescent="0.2">
      <c r="A5" s="3">
        <v>1</v>
      </c>
      <c r="B5" s="3" t="s">
        <v>295</v>
      </c>
      <c r="C5" s="13" t="s">
        <v>296</v>
      </c>
      <c r="D5" s="3" t="s">
        <v>297</v>
      </c>
      <c r="E5" s="3" t="s">
        <v>298</v>
      </c>
    </row>
    <row r="6" spans="1:5" x14ac:dyDescent="0.2">
      <c r="A6" s="3">
        <v>2</v>
      </c>
      <c r="B6" s="3" t="s">
        <v>299</v>
      </c>
      <c r="C6" s="13" t="s">
        <v>300</v>
      </c>
      <c r="D6" s="3" t="s">
        <v>301</v>
      </c>
      <c r="E6" s="3" t="s">
        <v>302</v>
      </c>
    </row>
    <row r="7" spans="1:5" x14ac:dyDescent="0.2">
      <c r="A7" s="3">
        <v>3</v>
      </c>
      <c r="B7" s="3" t="s">
        <v>303</v>
      </c>
      <c r="C7" s="13" t="s">
        <v>304</v>
      </c>
      <c r="D7" s="3" t="s">
        <v>305</v>
      </c>
      <c r="E7" s="3" t="s">
        <v>306</v>
      </c>
    </row>
    <row r="8" spans="1:5" x14ac:dyDescent="0.2">
      <c r="A8" s="3">
        <v>4</v>
      </c>
      <c r="B8" s="3" t="s">
        <v>307</v>
      </c>
      <c r="C8" s="13" t="s">
        <v>308</v>
      </c>
      <c r="D8" s="3" t="s">
        <v>309</v>
      </c>
      <c r="E8" s="3" t="s">
        <v>310</v>
      </c>
    </row>
    <row r="10" spans="1:5" x14ac:dyDescent="0.2">
      <c r="A10" s="32" t="s">
        <v>311</v>
      </c>
      <c r="B10" s="33"/>
      <c r="C10" s="33"/>
      <c r="D10" s="33"/>
      <c r="E10" s="33"/>
    </row>
    <row r="11" spans="1:5" x14ac:dyDescent="0.2">
      <c r="A11" s="1" t="s">
        <v>25</v>
      </c>
      <c r="B11" s="1" t="s">
        <v>312</v>
      </c>
      <c r="C11" s="1" t="s">
        <v>165</v>
      </c>
      <c r="D11" s="1" t="s">
        <v>313</v>
      </c>
      <c r="E11" s="1" t="s">
        <v>192</v>
      </c>
    </row>
    <row r="12" spans="1:5" x14ac:dyDescent="0.2">
      <c r="A12" s="3">
        <v>1</v>
      </c>
      <c r="B12" s="3" t="s">
        <v>314</v>
      </c>
      <c r="C12" s="3" t="s">
        <v>315</v>
      </c>
      <c r="D12" s="3" t="s">
        <v>316</v>
      </c>
      <c r="E12" s="3" t="s">
        <v>302</v>
      </c>
    </row>
    <row r="13" spans="1:5" x14ac:dyDescent="0.2">
      <c r="A13" s="3">
        <v>2</v>
      </c>
      <c r="B13" s="3" t="s">
        <v>317</v>
      </c>
      <c r="C13" s="3" t="s">
        <v>318</v>
      </c>
      <c r="D13" s="3" t="s">
        <v>319</v>
      </c>
      <c r="E13" s="3" t="s">
        <v>302</v>
      </c>
    </row>
    <row r="14" spans="1:5" x14ac:dyDescent="0.2">
      <c r="A14" s="3">
        <v>3</v>
      </c>
      <c r="B14" s="3" t="s">
        <v>320</v>
      </c>
      <c r="C14" s="3" t="s">
        <v>321</v>
      </c>
      <c r="D14" s="3" t="s">
        <v>322</v>
      </c>
      <c r="E14" s="3" t="s">
        <v>302</v>
      </c>
    </row>
    <row r="15" spans="1:5" x14ac:dyDescent="0.2">
      <c r="A15" s="3">
        <v>4</v>
      </c>
      <c r="B15" s="3" t="s">
        <v>323</v>
      </c>
      <c r="C15" s="3" t="s">
        <v>324</v>
      </c>
      <c r="D15" s="3" t="s">
        <v>325</v>
      </c>
      <c r="E15" s="3" t="s">
        <v>302</v>
      </c>
    </row>
    <row r="16" spans="1:5" x14ac:dyDescent="0.2">
      <c r="A16" s="3">
        <v>5</v>
      </c>
      <c r="B16" s="3" t="s">
        <v>326</v>
      </c>
      <c r="C16" s="3" t="s">
        <v>327</v>
      </c>
      <c r="D16" s="3" t="s">
        <v>328</v>
      </c>
      <c r="E16" s="3" t="s">
        <v>302</v>
      </c>
    </row>
    <row r="17" spans="1:5" x14ac:dyDescent="0.2">
      <c r="A17" s="3">
        <v>6</v>
      </c>
      <c r="B17" s="3" t="s">
        <v>329</v>
      </c>
      <c r="C17" s="3" t="s">
        <v>330</v>
      </c>
      <c r="D17" s="3" t="s">
        <v>331</v>
      </c>
      <c r="E17" s="3" t="s">
        <v>302</v>
      </c>
    </row>
    <row r="18" spans="1:5" x14ac:dyDescent="0.2">
      <c r="A18" s="3">
        <v>7</v>
      </c>
      <c r="B18" s="3" t="s">
        <v>332</v>
      </c>
      <c r="C18" s="3" t="s">
        <v>333</v>
      </c>
      <c r="D18" s="3" t="s">
        <v>334</v>
      </c>
      <c r="E18" s="3" t="s">
        <v>302</v>
      </c>
    </row>
    <row r="20" spans="1:5" x14ac:dyDescent="0.2">
      <c r="A20" s="32" t="s">
        <v>335</v>
      </c>
      <c r="B20" s="33"/>
      <c r="C20" s="33"/>
      <c r="D20" s="33"/>
      <c r="E20" s="33"/>
    </row>
    <row r="21" spans="1:5" x14ac:dyDescent="0.2">
      <c r="A21" s="1" t="s">
        <v>25</v>
      </c>
      <c r="B21" s="1" t="s">
        <v>336</v>
      </c>
      <c r="C21" s="1" t="s">
        <v>337</v>
      </c>
      <c r="D21" s="1" t="s">
        <v>238</v>
      </c>
      <c r="E21" s="1"/>
    </row>
    <row r="22" spans="1:5" x14ac:dyDescent="0.2">
      <c r="A22" s="3">
        <v>1</v>
      </c>
      <c r="B22" s="3" t="s">
        <v>314</v>
      </c>
      <c r="C22" s="20">
        <v>0.25</v>
      </c>
      <c r="D22" s="3" t="s">
        <v>338</v>
      </c>
    </row>
    <row r="23" spans="1:5" x14ac:dyDescent="0.2">
      <c r="A23" s="3">
        <v>2</v>
      </c>
      <c r="B23" s="3" t="s">
        <v>317</v>
      </c>
      <c r="C23" s="20">
        <v>0.15</v>
      </c>
      <c r="D23" s="3" t="s">
        <v>338</v>
      </c>
    </row>
    <row r="24" spans="1:5" x14ac:dyDescent="0.2">
      <c r="A24" s="3">
        <v>3</v>
      </c>
      <c r="B24" s="3" t="s">
        <v>320</v>
      </c>
      <c r="C24" s="20">
        <v>0.1</v>
      </c>
      <c r="D24" s="3" t="s">
        <v>338</v>
      </c>
    </row>
    <row r="25" spans="1:5" x14ac:dyDescent="0.2">
      <c r="A25" s="3">
        <v>4</v>
      </c>
      <c r="B25" s="3" t="s">
        <v>323</v>
      </c>
      <c r="C25" s="20">
        <v>0.15</v>
      </c>
      <c r="D25" s="3" t="s">
        <v>338</v>
      </c>
    </row>
    <row r="26" spans="1:5" x14ac:dyDescent="0.2">
      <c r="A26" s="3">
        <v>5</v>
      </c>
      <c r="B26" s="3" t="s">
        <v>326</v>
      </c>
      <c r="C26" s="20">
        <v>0.15</v>
      </c>
      <c r="D26" s="3" t="s">
        <v>338</v>
      </c>
    </row>
    <row r="27" spans="1:5" x14ac:dyDescent="0.2">
      <c r="A27" s="3">
        <v>6</v>
      </c>
      <c r="B27" s="3" t="s">
        <v>329</v>
      </c>
      <c r="C27" s="20">
        <v>0.1</v>
      </c>
      <c r="D27" s="3" t="s">
        <v>338</v>
      </c>
    </row>
    <row r="28" spans="1:5" x14ac:dyDescent="0.2">
      <c r="A28" s="3">
        <v>7</v>
      </c>
      <c r="B28" s="3" t="s">
        <v>332</v>
      </c>
      <c r="C28" s="20">
        <v>0.1</v>
      </c>
      <c r="D28" s="3" t="s">
        <v>338</v>
      </c>
    </row>
    <row r="29" spans="1:5" x14ac:dyDescent="0.2">
      <c r="B29" s="10" t="s">
        <v>339</v>
      </c>
      <c r="C29" s="15">
        <f>SUM(C22:C28)</f>
        <v>1</v>
      </c>
    </row>
    <row r="31" spans="1:5" x14ac:dyDescent="0.2">
      <c r="A31" s="32" t="s">
        <v>340</v>
      </c>
      <c r="B31" s="33"/>
      <c r="C31" s="33"/>
      <c r="D31" s="33"/>
      <c r="E31" s="33"/>
    </row>
    <row r="32" spans="1:5" x14ac:dyDescent="0.2">
      <c r="A32" s="1"/>
      <c r="B32" s="1" t="s">
        <v>220</v>
      </c>
      <c r="C32" s="1" t="s">
        <v>341</v>
      </c>
      <c r="D32" s="1" t="s">
        <v>342</v>
      </c>
      <c r="E32" s="1"/>
    </row>
    <row r="33" spans="2:4" x14ac:dyDescent="0.2">
      <c r="B33" s="6" t="s">
        <v>343</v>
      </c>
      <c r="C33" s="6" t="s">
        <v>344</v>
      </c>
      <c r="D33" s="6" t="s">
        <v>345</v>
      </c>
    </row>
    <row r="34" spans="2:4" x14ac:dyDescent="0.2">
      <c r="B34" s="2" t="s">
        <v>278</v>
      </c>
      <c r="C34" s="2" t="s">
        <v>346</v>
      </c>
      <c r="D34" s="2" t="s">
        <v>347</v>
      </c>
    </row>
    <row r="35" spans="2:4" x14ac:dyDescent="0.2">
      <c r="B35" s="11" t="s">
        <v>348</v>
      </c>
      <c r="C35" s="11" t="s">
        <v>349</v>
      </c>
      <c r="D35" s="11" t="s">
        <v>350</v>
      </c>
    </row>
    <row r="36" spans="2:4" x14ac:dyDescent="0.2">
      <c r="B36" s="8" t="s">
        <v>351</v>
      </c>
      <c r="C36" s="8" t="s">
        <v>352</v>
      </c>
      <c r="D36" s="8" t="s">
        <v>353</v>
      </c>
    </row>
  </sheetData>
  <mergeCells count="5">
    <mergeCell ref="A20:E20"/>
    <mergeCell ref="A10:E10"/>
    <mergeCell ref="A1:E1"/>
    <mergeCell ref="A31:E3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5400"/>
  </sheetPr>
  <dimension ref="A1:J53"/>
  <sheetViews>
    <sheetView workbookViewId="0"/>
  </sheetViews>
  <sheetFormatPr baseColWidth="10" defaultColWidth="8.83203125" defaultRowHeight="15" x14ac:dyDescent="0.2"/>
  <cols>
    <col min="1" max="1" width="4" customWidth="1"/>
    <col min="2" max="2" width="28" customWidth="1"/>
    <col min="3" max="9" width="14" customWidth="1"/>
    <col min="10" max="10" width="30" customWidth="1"/>
  </cols>
  <sheetData>
    <row r="1" spans="1:10" x14ac:dyDescent="0.2">
      <c r="A1" s="32" t="s">
        <v>354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x14ac:dyDescent="0.2">
      <c r="A3" s="32" t="s">
        <v>355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">
      <c r="A4" s="1" t="s">
        <v>25</v>
      </c>
      <c r="B4" s="1" t="s">
        <v>336</v>
      </c>
      <c r="C4" s="1" t="s">
        <v>356</v>
      </c>
      <c r="D4" s="1" t="s">
        <v>357</v>
      </c>
      <c r="E4" s="1" t="s">
        <v>358</v>
      </c>
      <c r="F4" s="1"/>
      <c r="G4" s="1"/>
      <c r="H4" s="1"/>
      <c r="I4" s="1"/>
      <c r="J4" s="1"/>
    </row>
    <row r="5" spans="1:10" x14ac:dyDescent="0.2">
      <c r="A5" s="3">
        <v>1</v>
      </c>
      <c r="B5" s="3" t="s">
        <v>359</v>
      </c>
      <c r="C5" s="14">
        <v>0.8</v>
      </c>
      <c r="D5" s="20">
        <v>0.25</v>
      </c>
      <c r="E5" s="21">
        <f t="shared" ref="E5:E11" si="0">C5*D5</f>
        <v>0.2</v>
      </c>
    </row>
    <row r="6" spans="1:10" x14ac:dyDescent="0.2">
      <c r="A6" s="3">
        <v>2</v>
      </c>
      <c r="B6" s="3" t="s">
        <v>360</v>
      </c>
      <c r="C6" s="14">
        <v>0.9</v>
      </c>
      <c r="D6" s="20">
        <v>0.15</v>
      </c>
      <c r="E6" s="21">
        <f t="shared" si="0"/>
        <v>0.13500000000000001</v>
      </c>
    </row>
    <row r="7" spans="1:10" x14ac:dyDescent="0.2">
      <c r="A7" s="3">
        <v>3</v>
      </c>
      <c r="B7" s="3" t="s">
        <v>361</v>
      </c>
      <c r="C7" s="14">
        <v>0.4</v>
      </c>
      <c r="D7" s="20">
        <v>0.1</v>
      </c>
      <c r="E7" s="21">
        <f t="shared" si="0"/>
        <v>4.0000000000000008E-2</v>
      </c>
    </row>
    <row r="8" spans="1:10" x14ac:dyDescent="0.2">
      <c r="A8" s="3">
        <v>4</v>
      </c>
      <c r="B8" s="3" t="s">
        <v>362</v>
      </c>
      <c r="C8" s="14">
        <v>0.7</v>
      </c>
      <c r="D8" s="20">
        <v>0.15</v>
      </c>
      <c r="E8" s="21">
        <f t="shared" si="0"/>
        <v>0.105</v>
      </c>
    </row>
    <row r="9" spans="1:10" x14ac:dyDescent="0.2">
      <c r="A9" s="3">
        <v>5</v>
      </c>
      <c r="B9" s="3" t="s">
        <v>363</v>
      </c>
      <c r="C9" s="14">
        <v>0.6</v>
      </c>
      <c r="D9" s="20">
        <v>0.15</v>
      </c>
      <c r="E9" s="21">
        <f t="shared" si="0"/>
        <v>0.09</v>
      </c>
    </row>
    <row r="10" spans="1:10" x14ac:dyDescent="0.2">
      <c r="A10" s="3">
        <v>6</v>
      </c>
      <c r="B10" s="3" t="s">
        <v>364</v>
      </c>
      <c r="C10" s="14">
        <v>0.5</v>
      </c>
      <c r="D10" s="20">
        <v>0.1</v>
      </c>
      <c r="E10" s="21">
        <f t="shared" si="0"/>
        <v>0.05</v>
      </c>
    </row>
    <row r="11" spans="1:10" x14ac:dyDescent="0.2">
      <c r="A11" s="3">
        <v>7</v>
      </c>
      <c r="B11" s="3" t="s">
        <v>365</v>
      </c>
      <c r="C11" s="14">
        <v>0.8</v>
      </c>
      <c r="D11" s="20">
        <v>0.1</v>
      </c>
      <c r="E11" s="21">
        <f t="shared" si="0"/>
        <v>8.0000000000000016E-2</v>
      </c>
    </row>
    <row r="12" spans="1:10" ht="17" x14ac:dyDescent="0.2">
      <c r="B12" s="10" t="s">
        <v>366</v>
      </c>
      <c r="E12" s="22">
        <f>SUM(E5:E11)</f>
        <v>0.7</v>
      </c>
    </row>
    <row r="13" spans="1:10" x14ac:dyDescent="0.2">
      <c r="B13" s="3" t="s">
        <v>367</v>
      </c>
      <c r="C13" s="14">
        <v>0.6</v>
      </c>
    </row>
    <row r="14" spans="1:10" x14ac:dyDescent="0.2">
      <c r="B14" s="3" t="s">
        <v>368</v>
      </c>
      <c r="C14" s="14">
        <v>0.7</v>
      </c>
    </row>
    <row r="15" spans="1:10" ht="17" x14ac:dyDescent="0.2">
      <c r="B15" s="10" t="s">
        <v>369</v>
      </c>
      <c r="C15" s="22">
        <f>C13*(1-E12)*C14</f>
        <v>0.126</v>
      </c>
    </row>
    <row r="17" spans="1:10" x14ac:dyDescent="0.2">
      <c r="A17" s="32" t="s">
        <v>370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 x14ac:dyDescent="0.2">
      <c r="A18" s="1" t="s">
        <v>25</v>
      </c>
      <c r="B18" s="1" t="s">
        <v>336</v>
      </c>
      <c r="C18" s="1" t="s">
        <v>356</v>
      </c>
      <c r="D18" s="1" t="s">
        <v>357</v>
      </c>
      <c r="E18" s="1" t="s">
        <v>358</v>
      </c>
      <c r="F18" s="1"/>
      <c r="G18" s="1"/>
      <c r="H18" s="1"/>
      <c r="I18" s="1"/>
      <c r="J18" s="1"/>
    </row>
    <row r="19" spans="1:10" x14ac:dyDescent="0.2">
      <c r="A19" s="3">
        <v>1</v>
      </c>
      <c r="B19" s="3" t="s">
        <v>359</v>
      </c>
      <c r="C19" s="14">
        <v>0.3</v>
      </c>
      <c r="D19" s="20">
        <v>0.25</v>
      </c>
      <c r="E19" s="21">
        <f t="shared" ref="E19:E25" si="1">C19*D19</f>
        <v>7.4999999999999997E-2</v>
      </c>
    </row>
    <row r="20" spans="1:10" x14ac:dyDescent="0.2">
      <c r="A20" s="3">
        <v>2</v>
      </c>
      <c r="B20" s="3" t="s">
        <v>360</v>
      </c>
      <c r="C20" s="14">
        <v>0.7</v>
      </c>
      <c r="D20" s="20">
        <v>0.15</v>
      </c>
      <c r="E20" s="21">
        <f t="shared" si="1"/>
        <v>0.105</v>
      </c>
    </row>
    <row r="21" spans="1:10" x14ac:dyDescent="0.2">
      <c r="A21" s="3">
        <v>3</v>
      </c>
      <c r="B21" s="3" t="s">
        <v>361</v>
      </c>
      <c r="C21" s="14">
        <v>0.8</v>
      </c>
      <c r="D21" s="20">
        <v>0.1</v>
      </c>
      <c r="E21" s="21">
        <f t="shared" si="1"/>
        <v>8.0000000000000016E-2</v>
      </c>
    </row>
    <row r="22" spans="1:10" x14ac:dyDescent="0.2">
      <c r="A22" s="3">
        <v>4</v>
      </c>
      <c r="B22" s="3" t="s">
        <v>362</v>
      </c>
      <c r="C22" s="14">
        <v>0.6</v>
      </c>
      <c r="D22" s="20">
        <v>0.15</v>
      </c>
      <c r="E22" s="21">
        <f t="shared" si="1"/>
        <v>0.09</v>
      </c>
    </row>
    <row r="23" spans="1:10" x14ac:dyDescent="0.2">
      <c r="A23" s="3">
        <v>5</v>
      </c>
      <c r="B23" s="3" t="s">
        <v>363</v>
      </c>
      <c r="C23" s="14">
        <v>0.9</v>
      </c>
      <c r="D23" s="20">
        <v>0.15</v>
      </c>
      <c r="E23" s="21">
        <f t="shared" si="1"/>
        <v>0.13500000000000001</v>
      </c>
    </row>
    <row r="24" spans="1:10" x14ac:dyDescent="0.2">
      <c r="A24" s="3">
        <v>6</v>
      </c>
      <c r="B24" s="3" t="s">
        <v>364</v>
      </c>
      <c r="C24" s="14">
        <v>0.7</v>
      </c>
      <c r="D24" s="20">
        <v>0.1</v>
      </c>
      <c r="E24" s="21">
        <f t="shared" si="1"/>
        <v>6.9999999999999993E-2</v>
      </c>
    </row>
    <row r="25" spans="1:10" x14ac:dyDescent="0.2">
      <c r="A25" s="3">
        <v>7</v>
      </c>
      <c r="B25" s="3" t="s">
        <v>365</v>
      </c>
      <c r="C25" s="14">
        <v>0.7</v>
      </c>
      <c r="D25" s="20">
        <v>0.1</v>
      </c>
      <c r="E25" s="21">
        <f t="shared" si="1"/>
        <v>6.9999999999999993E-2</v>
      </c>
    </row>
    <row r="26" spans="1:10" ht="17" x14ac:dyDescent="0.2">
      <c r="B26" s="10" t="s">
        <v>366</v>
      </c>
      <c r="E26" s="22">
        <f>SUM(E19:E25)</f>
        <v>0.62499999999999989</v>
      </c>
    </row>
    <row r="27" spans="1:10" x14ac:dyDescent="0.2">
      <c r="B27" s="3" t="s">
        <v>367</v>
      </c>
      <c r="C27" s="14">
        <v>0.6</v>
      </c>
    </row>
    <row r="28" spans="1:10" x14ac:dyDescent="0.2">
      <c r="B28" s="3" t="s">
        <v>368</v>
      </c>
      <c r="C28" s="14">
        <v>0.8</v>
      </c>
    </row>
    <row r="29" spans="1:10" ht="17" x14ac:dyDescent="0.2">
      <c r="B29" s="10" t="s">
        <v>369</v>
      </c>
      <c r="C29" s="22">
        <f>C27*(1-E26)*C28</f>
        <v>0.18000000000000005</v>
      </c>
    </row>
    <row r="31" spans="1:10" x14ac:dyDescent="0.2">
      <c r="A31" s="32" t="s">
        <v>371</v>
      </c>
      <c r="B31" s="33"/>
      <c r="C31" s="33"/>
      <c r="D31" s="33"/>
      <c r="E31" s="33"/>
      <c r="F31" s="33"/>
      <c r="G31" s="33"/>
      <c r="H31" s="33"/>
      <c r="I31" s="33"/>
      <c r="J31" s="33"/>
    </row>
    <row r="32" spans="1:10" x14ac:dyDescent="0.2">
      <c r="A32" s="1" t="s">
        <v>25</v>
      </c>
      <c r="B32" s="1" t="s">
        <v>336</v>
      </c>
      <c r="C32" s="1" t="s">
        <v>356</v>
      </c>
      <c r="D32" s="1" t="s">
        <v>357</v>
      </c>
      <c r="E32" s="1" t="s">
        <v>358</v>
      </c>
      <c r="F32" s="1"/>
      <c r="G32" s="1"/>
      <c r="H32" s="1"/>
      <c r="I32" s="1"/>
      <c r="J32" s="1"/>
    </row>
    <row r="33" spans="1:10" x14ac:dyDescent="0.2">
      <c r="A33" s="3">
        <v>1</v>
      </c>
      <c r="B33" s="3" t="s">
        <v>359</v>
      </c>
      <c r="C33" s="14">
        <v>0.7</v>
      </c>
      <c r="D33" s="20">
        <v>0.25</v>
      </c>
      <c r="E33" s="21">
        <f t="shared" ref="E33:E39" si="2">C33*D33</f>
        <v>0.17499999999999999</v>
      </c>
    </row>
    <row r="34" spans="1:10" x14ac:dyDescent="0.2">
      <c r="A34" s="3">
        <v>2</v>
      </c>
      <c r="B34" s="3" t="s">
        <v>360</v>
      </c>
      <c r="C34" s="14">
        <v>0.8</v>
      </c>
      <c r="D34" s="20">
        <v>0.15</v>
      </c>
      <c r="E34" s="21">
        <f t="shared" si="2"/>
        <v>0.12</v>
      </c>
    </row>
    <row r="35" spans="1:10" x14ac:dyDescent="0.2">
      <c r="A35" s="3">
        <v>3</v>
      </c>
      <c r="B35" s="3" t="s">
        <v>361</v>
      </c>
      <c r="C35" s="14">
        <v>0.3</v>
      </c>
      <c r="D35" s="20">
        <v>0.1</v>
      </c>
      <c r="E35" s="21">
        <f t="shared" si="2"/>
        <v>0.03</v>
      </c>
    </row>
    <row r="36" spans="1:10" x14ac:dyDescent="0.2">
      <c r="A36" s="3">
        <v>4</v>
      </c>
      <c r="B36" s="3" t="s">
        <v>362</v>
      </c>
      <c r="C36" s="14">
        <v>0.9</v>
      </c>
      <c r="D36" s="20">
        <v>0.15</v>
      </c>
      <c r="E36" s="21">
        <f t="shared" si="2"/>
        <v>0.13500000000000001</v>
      </c>
    </row>
    <row r="37" spans="1:10" x14ac:dyDescent="0.2">
      <c r="A37" s="3">
        <v>5</v>
      </c>
      <c r="B37" s="3" t="s">
        <v>363</v>
      </c>
      <c r="C37" s="14">
        <v>0.8</v>
      </c>
      <c r="D37" s="20">
        <v>0.15</v>
      </c>
      <c r="E37" s="21">
        <f t="shared" si="2"/>
        <v>0.12</v>
      </c>
    </row>
    <row r="38" spans="1:10" x14ac:dyDescent="0.2">
      <c r="A38" s="3">
        <v>6</v>
      </c>
      <c r="B38" s="3" t="s">
        <v>364</v>
      </c>
      <c r="C38" s="14">
        <v>0.8</v>
      </c>
      <c r="D38" s="20">
        <v>0.1</v>
      </c>
      <c r="E38" s="21">
        <f t="shared" si="2"/>
        <v>8.0000000000000016E-2</v>
      </c>
    </row>
    <row r="39" spans="1:10" x14ac:dyDescent="0.2">
      <c r="A39" s="3">
        <v>7</v>
      </c>
      <c r="B39" s="3" t="s">
        <v>365</v>
      </c>
      <c r="C39" s="14">
        <v>0.9</v>
      </c>
      <c r="D39" s="20">
        <v>0.1</v>
      </c>
      <c r="E39" s="21">
        <f t="shared" si="2"/>
        <v>9.0000000000000011E-2</v>
      </c>
    </row>
    <row r="40" spans="1:10" ht="16" x14ac:dyDescent="0.2">
      <c r="B40" s="10" t="s">
        <v>366</v>
      </c>
      <c r="E40" s="22">
        <f>SUM(E33:E39)</f>
        <v>0.74999999999999989</v>
      </c>
    </row>
    <row r="41" spans="1:10" x14ac:dyDescent="0.2">
      <c r="B41" s="3" t="s">
        <v>367</v>
      </c>
      <c r="C41" s="14">
        <v>0.6</v>
      </c>
    </row>
    <row r="42" spans="1:10" x14ac:dyDescent="0.2">
      <c r="B42" s="3" t="s">
        <v>368</v>
      </c>
      <c r="C42" s="14">
        <v>0.5</v>
      </c>
    </row>
    <row r="43" spans="1:10" ht="16" x14ac:dyDescent="0.2">
      <c r="B43" s="10" t="s">
        <v>369</v>
      </c>
      <c r="C43" s="22">
        <f>C41*(1-E40)*C42</f>
        <v>7.5000000000000025E-2</v>
      </c>
    </row>
    <row r="46" spans="1:10" x14ac:dyDescent="0.2">
      <c r="A46" s="32" t="s">
        <v>372</v>
      </c>
      <c r="B46" s="33"/>
      <c r="C46" s="33"/>
      <c r="D46" s="33"/>
      <c r="E46" s="33"/>
      <c r="F46" s="33"/>
      <c r="G46" s="33"/>
      <c r="H46" s="33"/>
      <c r="I46" s="33"/>
      <c r="J46" s="33"/>
    </row>
    <row r="47" spans="1:10" x14ac:dyDescent="0.2">
      <c r="A47" s="1" t="s">
        <v>25</v>
      </c>
      <c r="B47" s="1" t="s">
        <v>373</v>
      </c>
      <c r="C47" s="1" t="s">
        <v>341</v>
      </c>
      <c r="D47" s="1" t="s">
        <v>367</v>
      </c>
      <c r="E47" s="1" t="s">
        <v>374</v>
      </c>
      <c r="F47" s="1" t="s">
        <v>375</v>
      </c>
      <c r="G47" s="1" t="s">
        <v>376</v>
      </c>
      <c r="H47" s="1" t="s">
        <v>377</v>
      </c>
      <c r="I47" s="1" t="s">
        <v>378</v>
      </c>
      <c r="J47" s="1"/>
    </row>
    <row r="48" spans="1:10" x14ac:dyDescent="0.2">
      <c r="A48" s="3">
        <v>1</v>
      </c>
      <c r="B48" s="3" t="s">
        <v>379</v>
      </c>
      <c r="C48" s="14">
        <v>0.3</v>
      </c>
      <c r="D48" s="14">
        <v>0.6</v>
      </c>
      <c r="E48" s="14">
        <v>0.9</v>
      </c>
      <c r="F48" s="21">
        <f>D48*(1-C48)*E48</f>
        <v>0.378</v>
      </c>
      <c r="G48" s="21">
        <f>1-F48</f>
        <v>0.622</v>
      </c>
      <c r="H48" s="15">
        <f>1+C48</f>
        <v>1.3</v>
      </c>
      <c r="I48" s="21">
        <f>G48*H48</f>
        <v>0.80859999999999999</v>
      </c>
    </row>
    <row r="49" spans="1:9" x14ac:dyDescent="0.2">
      <c r="A49" s="3">
        <v>2</v>
      </c>
      <c r="B49" s="3" t="s">
        <v>380</v>
      </c>
      <c r="C49" s="14">
        <v>0.7</v>
      </c>
      <c r="D49" s="14">
        <v>0.6</v>
      </c>
      <c r="E49" s="14">
        <v>0.7</v>
      </c>
      <c r="F49" s="21">
        <f>D49*(1-C49)*E49</f>
        <v>0.126</v>
      </c>
      <c r="G49" s="21">
        <f>1-F49</f>
        <v>0.874</v>
      </c>
      <c r="H49" s="15">
        <f>1+C49</f>
        <v>1.7</v>
      </c>
      <c r="I49" s="21">
        <f>G49*H49</f>
        <v>1.4858</v>
      </c>
    </row>
    <row r="50" spans="1:9" x14ac:dyDescent="0.2">
      <c r="A50" s="3">
        <v>3</v>
      </c>
      <c r="B50" s="3" t="s">
        <v>381</v>
      </c>
      <c r="C50" s="14">
        <v>0.95</v>
      </c>
      <c r="D50" s="14">
        <v>0.6</v>
      </c>
      <c r="E50" s="14">
        <v>0.5</v>
      </c>
      <c r="F50" s="21">
        <f>D50*(1-C50)*E50</f>
        <v>1.5000000000000013E-2</v>
      </c>
      <c r="G50" s="21">
        <f>1-F50</f>
        <v>0.98499999999999999</v>
      </c>
      <c r="H50" s="15">
        <f>1+C50</f>
        <v>1.95</v>
      </c>
      <c r="I50" s="21">
        <f>G50*H50</f>
        <v>1.92075</v>
      </c>
    </row>
    <row r="51" spans="1:9" x14ac:dyDescent="0.2">
      <c r="B51" s="10" t="s">
        <v>339</v>
      </c>
      <c r="H51" s="21">
        <f>SUM(H48:H50)</f>
        <v>4.95</v>
      </c>
      <c r="I51" s="21">
        <f>SUM(I48:I50)</f>
        <v>4.2151499999999995</v>
      </c>
    </row>
    <row r="53" spans="1:9" ht="17" x14ac:dyDescent="0.2">
      <c r="B53" s="10" t="s">
        <v>382</v>
      </c>
      <c r="C53" s="19">
        <f>I51/H51</f>
        <v>0.85154545454545438</v>
      </c>
      <c r="E53" s="3" t="s">
        <v>283</v>
      </c>
      <c r="F53" s="9" t="str">
        <f>IF(C53&gt;=0.7,"✓ CUMPLE","✗ NO CUMPLE")</f>
        <v>✓ CUMPLE</v>
      </c>
    </row>
  </sheetData>
  <mergeCells count="5">
    <mergeCell ref="A1:J1"/>
    <mergeCell ref="A46:J46"/>
    <mergeCell ref="A31:J31"/>
    <mergeCell ref="A17:J17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E24"/>
  <sheetViews>
    <sheetView workbookViewId="0"/>
  </sheetViews>
  <sheetFormatPr baseColWidth="10" defaultColWidth="8.83203125" defaultRowHeight="15" x14ac:dyDescent="0.2"/>
  <cols>
    <col min="1" max="1" width="4" customWidth="1"/>
    <col min="2" max="3" width="38" customWidth="1"/>
    <col min="4" max="4" width="28" customWidth="1"/>
    <col min="5" max="5" width="20" customWidth="1"/>
  </cols>
  <sheetData>
    <row r="1" spans="1:5" x14ac:dyDescent="0.2">
      <c r="A1" s="32" t="s">
        <v>383</v>
      </c>
      <c r="B1" s="33"/>
      <c r="C1" s="33"/>
      <c r="D1" s="33"/>
      <c r="E1" s="33"/>
    </row>
    <row r="3" spans="1:5" x14ac:dyDescent="0.2">
      <c r="A3" s="32" t="s">
        <v>384</v>
      </c>
      <c r="B3" s="33"/>
      <c r="C3" s="33"/>
      <c r="D3" s="33"/>
      <c r="E3" s="33"/>
    </row>
    <row r="4" spans="1:5" x14ac:dyDescent="0.2">
      <c r="A4" s="1" t="s">
        <v>25</v>
      </c>
      <c r="B4" s="1" t="s">
        <v>145</v>
      </c>
      <c r="C4" s="1" t="s">
        <v>191</v>
      </c>
      <c r="D4" s="1" t="s">
        <v>207</v>
      </c>
      <c r="E4" s="1" t="s">
        <v>192</v>
      </c>
    </row>
    <row r="5" spans="1:5" x14ac:dyDescent="0.2">
      <c r="A5" s="3">
        <v>1</v>
      </c>
      <c r="B5" s="3" t="s">
        <v>385</v>
      </c>
      <c r="C5" s="13" t="s">
        <v>386</v>
      </c>
      <c r="D5" s="3" t="s">
        <v>387</v>
      </c>
      <c r="E5" s="3" t="s">
        <v>388</v>
      </c>
    </row>
    <row r="6" spans="1:5" x14ac:dyDescent="0.2">
      <c r="A6" s="3">
        <v>2</v>
      </c>
      <c r="B6" s="3" t="s">
        <v>389</v>
      </c>
      <c r="C6" s="13" t="s">
        <v>390</v>
      </c>
      <c r="D6" s="3" t="s">
        <v>391</v>
      </c>
      <c r="E6" s="3" t="s">
        <v>392</v>
      </c>
    </row>
    <row r="7" spans="1:5" x14ac:dyDescent="0.2">
      <c r="A7" s="3">
        <v>3</v>
      </c>
      <c r="B7" s="3" t="s">
        <v>393</v>
      </c>
      <c r="C7" s="13" t="s">
        <v>394</v>
      </c>
      <c r="D7" s="3" t="s">
        <v>395</v>
      </c>
      <c r="E7" s="3" t="s">
        <v>392</v>
      </c>
    </row>
    <row r="8" spans="1:5" x14ac:dyDescent="0.2">
      <c r="A8" s="3">
        <v>4</v>
      </c>
      <c r="B8" s="3" t="s">
        <v>396</v>
      </c>
      <c r="C8" s="13" t="s">
        <v>397</v>
      </c>
      <c r="D8" s="3" t="s">
        <v>398</v>
      </c>
      <c r="E8" s="3" t="s">
        <v>399</v>
      </c>
    </row>
    <row r="9" spans="1:5" x14ac:dyDescent="0.2">
      <c r="A9" s="3">
        <v>5</v>
      </c>
      <c r="B9" s="3" t="s">
        <v>400</v>
      </c>
      <c r="C9" s="13" t="s">
        <v>401</v>
      </c>
      <c r="D9" s="3" t="s">
        <v>402</v>
      </c>
      <c r="E9" s="3" t="s">
        <v>403</v>
      </c>
    </row>
    <row r="10" spans="1:5" x14ac:dyDescent="0.2">
      <c r="A10" s="3">
        <v>6</v>
      </c>
      <c r="B10" s="3" t="s">
        <v>404</v>
      </c>
      <c r="C10" s="13" t="s">
        <v>405</v>
      </c>
      <c r="D10" s="3" t="s">
        <v>157</v>
      </c>
      <c r="E10" s="3" t="s">
        <v>406</v>
      </c>
    </row>
    <row r="12" spans="1:5" x14ac:dyDescent="0.2">
      <c r="A12" s="32" t="s">
        <v>407</v>
      </c>
      <c r="B12" s="33"/>
      <c r="C12" s="33"/>
      <c r="D12" s="33"/>
      <c r="E12" s="33"/>
    </row>
    <row r="13" spans="1:5" x14ac:dyDescent="0.2">
      <c r="A13" s="1" t="s">
        <v>25</v>
      </c>
      <c r="B13" s="1" t="s">
        <v>190</v>
      </c>
      <c r="C13" s="1" t="s">
        <v>357</v>
      </c>
      <c r="D13" s="1" t="s">
        <v>238</v>
      </c>
      <c r="E13" s="1"/>
    </row>
    <row r="14" spans="1:5" ht="30" x14ac:dyDescent="0.2">
      <c r="A14" s="3">
        <v>1</v>
      </c>
      <c r="B14" s="3" t="s">
        <v>408</v>
      </c>
      <c r="C14" s="20">
        <v>0.5</v>
      </c>
      <c r="D14" s="3" t="s">
        <v>409</v>
      </c>
    </row>
    <row r="15" spans="1:5" x14ac:dyDescent="0.2">
      <c r="A15" s="3">
        <v>2</v>
      </c>
      <c r="B15" s="3" t="s">
        <v>410</v>
      </c>
      <c r="C15" s="20">
        <v>0.3</v>
      </c>
      <c r="D15" s="3" t="s">
        <v>411</v>
      </c>
    </row>
    <row r="16" spans="1:5" x14ac:dyDescent="0.2">
      <c r="A16" s="3">
        <v>3</v>
      </c>
      <c r="B16" s="3" t="s">
        <v>412</v>
      </c>
      <c r="C16" s="20">
        <v>0.2</v>
      </c>
      <c r="D16" s="3" t="s">
        <v>413</v>
      </c>
    </row>
    <row r="18" spans="1:5" x14ac:dyDescent="0.2">
      <c r="A18" s="32" t="s">
        <v>414</v>
      </c>
      <c r="B18" s="33"/>
      <c r="C18" s="33"/>
      <c r="D18" s="33"/>
      <c r="E18" s="33"/>
    </row>
    <row r="19" spans="1:5" x14ac:dyDescent="0.2">
      <c r="A19" s="1" t="s">
        <v>25</v>
      </c>
      <c r="B19" s="1" t="s">
        <v>415</v>
      </c>
      <c r="C19" s="1" t="s">
        <v>416</v>
      </c>
      <c r="D19" s="1" t="s">
        <v>222</v>
      </c>
      <c r="E19" s="1"/>
    </row>
    <row r="20" spans="1:5" x14ac:dyDescent="0.2">
      <c r="A20" s="3">
        <v>1</v>
      </c>
      <c r="B20" s="3" t="s">
        <v>417</v>
      </c>
      <c r="C20" s="23">
        <v>0.15</v>
      </c>
      <c r="D20" s="3" t="s">
        <v>418</v>
      </c>
    </row>
    <row r="21" spans="1:5" x14ac:dyDescent="0.2">
      <c r="A21" s="3">
        <v>2</v>
      </c>
      <c r="B21" s="3" t="s">
        <v>419</v>
      </c>
      <c r="C21" s="23">
        <v>0.22</v>
      </c>
      <c r="D21" s="3" t="s">
        <v>420</v>
      </c>
    </row>
    <row r="22" spans="1:5" x14ac:dyDescent="0.2">
      <c r="A22" s="3">
        <v>3</v>
      </c>
      <c r="B22" s="3" t="s">
        <v>421</v>
      </c>
      <c r="C22" s="23">
        <v>-0.18</v>
      </c>
      <c r="D22" s="3" t="s">
        <v>422</v>
      </c>
    </row>
    <row r="23" spans="1:5" x14ac:dyDescent="0.2">
      <c r="A23" s="3">
        <v>4</v>
      </c>
      <c r="B23" s="3" t="s">
        <v>423</v>
      </c>
      <c r="C23" s="23">
        <v>0.08</v>
      </c>
      <c r="D23" s="3" t="s">
        <v>424</v>
      </c>
    </row>
    <row r="24" spans="1:5" x14ac:dyDescent="0.2">
      <c r="A24" s="3">
        <v>5</v>
      </c>
      <c r="B24" s="3" t="s">
        <v>425</v>
      </c>
      <c r="C24" s="23">
        <v>-0.03</v>
      </c>
      <c r="D24" s="3" t="s">
        <v>426</v>
      </c>
    </row>
  </sheetData>
  <mergeCells count="4">
    <mergeCell ref="A1:E1"/>
    <mergeCell ref="A18:E18"/>
    <mergeCell ref="A12:E1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H33"/>
  <sheetViews>
    <sheetView workbookViewId="0"/>
  </sheetViews>
  <sheetFormatPr baseColWidth="10" defaultColWidth="8.83203125" defaultRowHeight="15" x14ac:dyDescent="0.2"/>
  <cols>
    <col min="1" max="1" width="4" customWidth="1"/>
    <col min="2" max="2" width="30" customWidth="1"/>
    <col min="3" max="7" width="14" customWidth="1"/>
    <col min="8" max="8" width="30" customWidth="1"/>
  </cols>
  <sheetData>
    <row r="1" spans="1:8" x14ac:dyDescent="0.2">
      <c r="A1" s="32" t="s">
        <v>427</v>
      </c>
      <c r="B1" s="33"/>
      <c r="C1" s="33"/>
      <c r="D1" s="33"/>
      <c r="E1" s="33"/>
      <c r="F1" s="33"/>
      <c r="G1" s="33"/>
      <c r="H1" s="33"/>
    </row>
    <row r="3" spans="1:8" x14ac:dyDescent="0.2">
      <c r="A3" s="32" t="s">
        <v>428</v>
      </c>
      <c r="B3" s="33"/>
      <c r="C3" s="33"/>
      <c r="D3" s="33"/>
      <c r="E3" s="33"/>
      <c r="F3" s="33"/>
      <c r="G3" s="33"/>
      <c r="H3" s="33"/>
    </row>
    <row r="4" spans="1:8" x14ac:dyDescent="0.2">
      <c r="B4" s="3" t="s">
        <v>429</v>
      </c>
      <c r="C4" s="14">
        <v>0.92</v>
      </c>
      <c r="H4" s="3" t="s">
        <v>430</v>
      </c>
    </row>
    <row r="5" spans="1:8" x14ac:dyDescent="0.2">
      <c r="B5" s="3" t="s">
        <v>431</v>
      </c>
      <c r="C5" s="14">
        <v>0.85</v>
      </c>
    </row>
    <row r="6" spans="1:8" x14ac:dyDescent="0.2">
      <c r="B6" s="3" t="s">
        <v>432</v>
      </c>
      <c r="C6" s="14">
        <v>0.7</v>
      </c>
    </row>
    <row r="7" spans="1:8" x14ac:dyDescent="0.2">
      <c r="B7" s="3" t="s">
        <v>433</v>
      </c>
      <c r="C7" s="14">
        <v>0.65</v>
      </c>
    </row>
    <row r="8" spans="1:8" x14ac:dyDescent="0.2">
      <c r="B8" s="10" t="s">
        <v>434</v>
      </c>
      <c r="C8" s="18">
        <f>(C5+C6+C7)/3</f>
        <v>0.73333333333333328</v>
      </c>
    </row>
    <row r="9" spans="1:8" ht="17" x14ac:dyDescent="0.2">
      <c r="B9" s="10" t="s">
        <v>394</v>
      </c>
      <c r="C9" s="19">
        <f>C4*C8</f>
        <v>0.67466666666666664</v>
      </c>
      <c r="E9" s="3" t="s">
        <v>435</v>
      </c>
      <c r="F9" s="6" t="str">
        <f>IF(C9&gt;=0.5,"✓","✗")</f>
        <v>✓</v>
      </c>
    </row>
    <row r="11" spans="1:8" x14ac:dyDescent="0.2">
      <c r="A11" s="32" t="s">
        <v>436</v>
      </c>
      <c r="B11" s="33"/>
      <c r="C11" s="33"/>
      <c r="D11" s="33"/>
      <c r="E11" s="33"/>
      <c r="F11" s="33"/>
      <c r="G11" s="33"/>
      <c r="H11" s="33"/>
    </row>
    <row r="12" spans="1:8" x14ac:dyDescent="0.2">
      <c r="A12" s="1"/>
      <c r="B12" s="1" t="s">
        <v>437</v>
      </c>
      <c r="C12" s="1" t="s">
        <v>438</v>
      </c>
      <c r="D12" s="1"/>
      <c r="E12" s="1"/>
      <c r="F12" s="1"/>
      <c r="G12" s="1"/>
      <c r="H12" s="1"/>
    </row>
    <row r="13" spans="1:8" x14ac:dyDescent="0.2">
      <c r="B13" s="3" t="s">
        <v>439</v>
      </c>
      <c r="C13" s="14">
        <v>0.8</v>
      </c>
    </row>
    <row r="14" spans="1:8" x14ac:dyDescent="0.2">
      <c r="B14" s="3" t="s">
        <v>440</v>
      </c>
      <c r="C14" s="14">
        <v>0.75</v>
      </c>
    </row>
    <row r="15" spans="1:8" x14ac:dyDescent="0.2">
      <c r="B15" s="3" t="s">
        <v>441</v>
      </c>
      <c r="C15" s="14">
        <v>0.6</v>
      </c>
    </row>
    <row r="16" spans="1:8" x14ac:dyDescent="0.2">
      <c r="B16" s="3" t="s">
        <v>442</v>
      </c>
      <c r="C16" s="14">
        <v>0.7</v>
      </c>
    </row>
    <row r="17" spans="1:8" x14ac:dyDescent="0.2">
      <c r="B17" s="3" t="s">
        <v>443</v>
      </c>
      <c r="C17" s="14">
        <v>0.65</v>
      </c>
    </row>
    <row r="18" spans="1:8" ht="17" x14ac:dyDescent="0.2">
      <c r="B18" s="10" t="s">
        <v>444</v>
      </c>
      <c r="C18" s="19">
        <f>AVERAGE(C13:C17)</f>
        <v>0.7</v>
      </c>
      <c r="E18" s="3" t="s">
        <v>445</v>
      </c>
      <c r="F18" s="6" t="str">
        <f>IF(C18&gt;=0.4,"✓","✗")</f>
        <v>✓</v>
      </c>
    </row>
    <row r="20" spans="1:8" x14ac:dyDescent="0.2">
      <c r="A20" s="32" t="s">
        <v>446</v>
      </c>
      <c r="B20" s="33"/>
      <c r="C20" s="33"/>
      <c r="D20" s="33"/>
      <c r="E20" s="33"/>
      <c r="F20" s="33"/>
      <c r="G20" s="33"/>
      <c r="H20" s="33"/>
    </row>
    <row r="21" spans="1:8" x14ac:dyDescent="0.2">
      <c r="A21" s="1"/>
      <c r="B21" s="1" t="s">
        <v>447</v>
      </c>
      <c r="C21" s="1" t="s">
        <v>448</v>
      </c>
      <c r="D21" s="1"/>
      <c r="E21" s="1"/>
      <c r="F21" s="1"/>
      <c r="G21" s="1"/>
      <c r="H21" s="1"/>
    </row>
    <row r="22" spans="1:8" x14ac:dyDescent="0.2">
      <c r="B22" s="3" t="s">
        <v>449</v>
      </c>
      <c r="C22" s="14">
        <v>0.55000000000000004</v>
      </c>
    </row>
    <row r="23" spans="1:8" x14ac:dyDescent="0.2">
      <c r="B23" s="3" t="s">
        <v>450</v>
      </c>
      <c r="C23" s="14">
        <v>0.5</v>
      </c>
    </row>
    <row r="24" spans="1:8" x14ac:dyDescent="0.2">
      <c r="B24" s="3" t="s">
        <v>451</v>
      </c>
      <c r="C24" s="14">
        <v>0.45</v>
      </c>
    </row>
    <row r="25" spans="1:8" x14ac:dyDescent="0.2">
      <c r="B25" s="3" t="s">
        <v>452</v>
      </c>
      <c r="C25" s="14">
        <v>0.6</v>
      </c>
    </row>
    <row r="26" spans="1:8" ht="17" x14ac:dyDescent="0.2">
      <c r="B26" s="10" t="s">
        <v>453</v>
      </c>
      <c r="C26" s="19">
        <f>AVERAGE(C22:C25)</f>
        <v>0.52500000000000002</v>
      </c>
      <c r="E26" s="3" t="s">
        <v>454</v>
      </c>
      <c r="F26" s="6" t="str">
        <f>IF(C26&gt;=0.25,"✓","✗")</f>
        <v>✓</v>
      </c>
    </row>
    <row r="28" spans="1:8" x14ac:dyDescent="0.2">
      <c r="A28" s="32" t="s">
        <v>455</v>
      </c>
      <c r="B28" s="33"/>
      <c r="C28" s="33"/>
      <c r="D28" s="33"/>
      <c r="E28" s="33"/>
      <c r="F28" s="33"/>
      <c r="G28" s="33"/>
      <c r="H28" s="33"/>
    </row>
    <row r="29" spans="1:8" x14ac:dyDescent="0.2">
      <c r="A29" s="1"/>
      <c r="B29" s="1" t="s">
        <v>190</v>
      </c>
      <c r="C29" s="1" t="s">
        <v>456</v>
      </c>
      <c r="D29" s="1" t="s">
        <v>457</v>
      </c>
      <c r="E29" s="1" t="s">
        <v>458</v>
      </c>
      <c r="F29" s="1"/>
      <c r="G29" s="1"/>
      <c r="H29" s="1"/>
    </row>
    <row r="30" spans="1:8" x14ac:dyDescent="0.2">
      <c r="B30" s="3" t="s">
        <v>459</v>
      </c>
      <c r="C30" s="18">
        <f>C9</f>
        <v>0.67466666666666664</v>
      </c>
      <c r="D30" s="20">
        <v>0.5</v>
      </c>
      <c r="E30" s="18">
        <f>C30*D30</f>
        <v>0.33733333333333332</v>
      </c>
    </row>
    <row r="31" spans="1:8" x14ac:dyDescent="0.2">
      <c r="B31" s="3" t="s">
        <v>460</v>
      </c>
      <c r="C31" s="18">
        <f>C18</f>
        <v>0.7</v>
      </c>
      <c r="D31" s="20">
        <v>0.3</v>
      </c>
      <c r="E31" s="18">
        <f>C31*D31</f>
        <v>0.21</v>
      </c>
    </row>
    <row r="32" spans="1:8" x14ac:dyDescent="0.2">
      <c r="B32" s="3" t="s">
        <v>461</v>
      </c>
      <c r="C32" s="18">
        <f>C26</f>
        <v>0.52500000000000002</v>
      </c>
      <c r="D32" s="20">
        <v>0.2</v>
      </c>
      <c r="E32" s="18">
        <f>C32*D32</f>
        <v>0.10500000000000001</v>
      </c>
    </row>
    <row r="33" spans="2:7" ht="17" x14ac:dyDescent="0.2">
      <c r="B33" s="10" t="s">
        <v>462</v>
      </c>
      <c r="E33" s="19">
        <f>E30+E31+E32</f>
        <v>0.65233333333333332</v>
      </c>
      <c r="G33" s="9" t="str">
        <f>IF(E33&gt;=0.75,"✓ CUMPLE","✗ NO CUMPLE")</f>
        <v>✗ NO CUMPLE</v>
      </c>
    </row>
  </sheetData>
  <mergeCells count="5">
    <mergeCell ref="A3:H3"/>
    <mergeCell ref="A20:H20"/>
    <mergeCell ref="A28:H28"/>
    <mergeCell ref="A11:H1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</sheetPr>
  <dimension ref="A1:E17"/>
  <sheetViews>
    <sheetView workbookViewId="0"/>
  </sheetViews>
  <sheetFormatPr baseColWidth="10" defaultColWidth="8.83203125" defaultRowHeight="15" x14ac:dyDescent="0.2"/>
  <cols>
    <col min="1" max="1" width="4" customWidth="1"/>
    <col min="2" max="3" width="38" customWidth="1"/>
    <col min="4" max="4" width="28" customWidth="1"/>
    <col min="5" max="5" width="20" customWidth="1"/>
  </cols>
  <sheetData>
    <row r="1" spans="1:5" x14ac:dyDescent="0.2">
      <c r="A1" s="32" t="s">
        <v>463</v>
      </c>
      <c r="B1" s="33"/>
      <c r="C1" s="33"/>
      <c r="D1" s="33"/>
      <c r="E1" s="33"/>
    </row>
    <row r="3" spans="1:5" x14ac:dyDescent="0.2">
      <c r="A3" s="32" t="s">
        <v>464</v>
      </c>
      <c r="B3" s="33"/>
      <c r="C3" s="33"/>
      <c r="D3" s="33"/>
      <c r="E3" s="33"/>
    </row>
    <row r="4" spans="1:5" x14ac:dyDescent="0.2">
      <c r="A4" s="1" t="s">
        <v>25</v>
      </c>
      <c r="B4" s="1" t="s">
        <v>190</v>
      </c>
      <c r="C4" s="1" t="s">
        <v>191</v>
      </c>
      <c r="D4" s="1" t="s">
        <v>4</v>
      </c>
      <c r="E4" s="1" t="s">
        <v>192</v>
      </c>
    </row>
    <row r="5" spans="1:5" x14ac:dyDescent="0.2">
      <c r="A5" s="3">
        <v>1</v>
      </c>
      <c r="B5" s="3" t="s">
        <v>465</v>
      </c>
      <c r="C5" s="13" t="s">
        <v>466</v>
      </c>
      <c r="D5" s="3" t="s">
        <v>467</v>
      </c>
      <c r="E5" s="3" t="s">
        <v>468</v>
      </c>
    </row>
    <row r="6" spans="1:5" x14ac:dyDescent="0.2">
      <c r="A6" s="3">
        <v>2</v>
      </c>
      <c r="B6" s="3" t="s">
        <v>469</v>
      </c>
      <c r="C6" s="13" t="s">
        <v>470</v>
      </c>
      <c r="D6" s="3" t="s">
        <v>471</v>
      </c>
      <c r="E6" s="3" t="s">
        <v>468</v>
      </c>
    </row>
    <row r="7" spans="1:5" x14ac:dyDescent="0.2">
      <c r="A7" s="3">
        <v>3</v>
      </c>
      <c r="B7" s="3" t="s">
        <v>472</v>
      </c>
      <c r="C7" s="13" t="s">
        <v>473</v>
      </c>
      <c r="D7" s="3" t="s">
        <v>474</v>
      </c>
      <c r="E7" s="3" t="s">
        <v>475</v>
      </c>
    </row>
    <row r="8" spans="1:5" ht="30" x14ac:dyDescent="0.2">
      <c r="A8" s="3">
        <v>4</v>
      </c>
      <c r="B8" s="3" t="s">
        <v>476</v>
      </c>
      <c r="C8" s="13" t="s">
        <v>477</v>
      </c>
      <c r="D8" s="3" t="s">
        <v>478</v>
      </c>
      <c r="E8" s="3" t="s">
        <v>479</v>
      </c>
    </row>
    <row r="10" spans="1:5" x14ac:dyDescent="0.2">
      <c r="A10" s="32" t="s">
        <v>480</v>
      </c>
      <c r="B10" s="33"/>
      <c r="C10" s="33"/>
      <c r="D10" s="33"/>
      <c r="E10" s="33"/>
    </row>
    <row r="11" spans="1:5" x14ac:dyDescent="0.2">
      <c r="A11" s="1" t="s">
        <v>25</v>
      </c>
      <c r="B11" s="1" t="s">
        <v>336</v>
      </c>
      <c r="C11" s="1" t="s">
        <v>357</v>
      </c>
      <c r="D11" s="1" t="s">
        <v>313</v>
      </c>
      <c r="E11" s="1" t="s">
        <v>192</v>
      </c>
    </row>
    <row r="12" spans="1:5" x14ac:dyDescent="0.2">
      <c r="A12" s="3">
        <v>1</v>
      </c>
      <c r="B12" s="3" t="s">
        <v>314</v>
      </c>
      <c r="C12" s="24">
        <v>1</v>
      </c>
      <c r="D12" s="3" t="s">
        <v>481</v>
      </c>
      <c r="E12" s="3" t="s">
        <v>482</v>
      </c>
    </row>
    <row r="13" spans="1:5" x14ac:dyDescent="0.2">
      <c r="A13" s="3">
        <v>2</v>
      </c>
      <c r="B13" s="3" t="s">
        <v>483</v>
      </c>
      <c r="C13" s="24">
        <v>1.5</v>
      </c>
      <c r="D13" s="3" t="s">
        <v>481</v>
      </c>
      <c r="E13" s="3" t="s">
        <v>482</v>
      </c>
    </row>
    <row r="14" spans="1:5" x14ac:dyDescent="0.2">
      <c r="A14" s="3">
        <v>3</v>
      </c>
      <c r="B14" s="3" t="s">
        <v>484</v>
      </c>
      <c r="C14" s="24">
        <v>1.2</v>
      </c>
      <c r="D14" s="3" t="s">
        <v>481</v>
      </c>
      <c r="E14" s="3" t="s">
        <v>482</v>
      </c>
    </row>
    <row r="15" spans="1:5" x14ac:dyDescent="0.2">
      <c r="A15" s="3">
        <v>4</v>
      </c>
      <c r="B15" s="3" t="s">
        <v>485</v>
      </c>
      <c r="C15" s="24">
        <v>1.3</v>
      </c>
      <c r="D15" s="3" t="s">
        <v>481</v>
      </c>
      <c r="E15" s="3" t="s">
        <v>482</v>
      </c>
    </row>
    <row r="16" spans="1:5" x14ac:dyDescent="0.2">
      <c r="A16" s="3">
        <v>5</v>
      </c>
      <c r="B16" s="3" t="s">
        <v>486</v>
      </c>
      <c r="C16" s="24">
        <v>0.8</v>
      </c>
      <c r="D16" s="3" t="s">
        <v>481</v>
      </c>
      <c r="E16" s="3" t="s">
        <v>482</v>
      </c>
    </row>
    <row r="17" spans="1:5" x14ac:dyDescent="0.2">
      <c r="A17" s="3">
        <v>6</v>
      </c>
      <c r="B17" s="3" t="s">
        <v>487</v>
      </c>
      <c r="C17" s="24">
        <v>2</v>
      </c>
      <c r="D17" s="3" t="s">
        <v>481</v>
      </c>
      <c r="E17" s="3" t="s">
        <v>482</v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D3C98"/>
  </sheetPr>
  <dimension ref="A1:L31"/>
  <sheetViews>
    <sheetView workbookViewId="0"/>
  </sheetViews>
  <sheetFormatPr baseColWidth="10" defaultColWidth="8.83203125" defaultRowHeight="15" x14ac:dyDescent="0.2"/>
  <cols>
    <col min="1" max="1" width="4" customWidth="1"/>
    <col min="2" max="2" width="28" customWidth="1"/>
    <col min="3" max="8" width="10" customWidth="1"/>
    <col min="9" max="11" width="14" customWidth="1"/>
    <col min="12" max="12" width="20" customWidth="1"/>
  </cols>
  <sheetData>
    <row r="1" spans="1:12" x14ac:dyDescent="0.2">
      <c r="A1" s="32" t="s">
        <v>488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spans="1:12" x14ac:dyDescent="0.2">
      <c r="A3" s="32" t="s">
        <v>489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">
      <c r="A4" s="1"/>
      <c r="B4" s="1" t="s">
        <v>373</v>
      </c>
      <c r="C4" s="1" t="s">
        <v>490</v>
      </c>
      <c r="D4" s="1" t="s">
        <v>491</v>
      </c>
      <c r="E4" s="1" t="s">
        <v>492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</row>
    <row r="5" spans="1:12" ht="17" x14ac:dyDescent="0.2">
      <c r="B5" s="3" t="s">
        <v>500</v>
      </c>
      <c r="C5" s="25">
        <v>0.1</v>
      </c>
      <c r="D5" s="25">
        <v>0.1</v>
      </c>
      <c r="E5" s="25">
        <v>0.2</v>
      </c>
      <c r="F5" s="25">
        <v>0.1</v>
      </c>
      <c r="G5" s="25">
        <v>0.2</v>
      </c>
      <c r="H5" s="25">
        <v>0</v>
      </c>
      <c r="I5" s="21">
        <v>-2.72</v>
      </c>
      <c r="J5" s="21">
        <v>6.2E-2</v>
      </c>
      <c r="K5" s="4">
        <v>3.5</v>
      </c>
      <c r="L5" s="9" t="s">
        <v>501</v>
      </c>
    </row>
    <row r="6" spans="1:12" ht="17" x14ac:dyDescent="0.2">
      <c r="B6" s="3" t="s">
        <v>502</v>
      </c>
      <c r="C6" s="25">
        <v>0.7</v>
      </c>
      <c r="D6" s="25">
        <v>0.5</v>
      </c>
      <c r="E6" s="25">
        <v>0.8</v>
      </c>
      <c r="F6" s="25">
        <v>0.6</v>
      </c>
      <c r="G6" s="25">
        <v>0.4</v>
      </c>
      <c r="H6" s="25">
        <v>0</v>
      </c>
      <c r="I6" s="21">
        <v>0.01</v>
      </c>
      <c r="J6" s="21">
        <v>0.502</v>
      </c>
      <c r="K6" s="4">
        <v>3.5</v>
      </c>
      <c r="L6" s="9" t="s">
        <v>503</v>
      </c>
    </row>
    <row r="7" spans="1:12" ht="17" x14ac:dyDescent="0.2">
      <c r="B7" s="3" t="s">
        <v>504</v>
      </c>
      <c r="C7" s="25">
        <v>0.9</v>
      </c>
      <c r="D7" s="25">
        <v>0.8</v>
      </c>
      <c r="E7" s="25">
        <v>0.9</v>
      </c>
      <c r="F7" s="25">
        <v>0.9</v>
      </c>
      <c r="G7" s="25">
        <v>0.7</v>
      </c>
      <c r="H7" s="25">
        <v>1</v>
      </c>
      <c r="I7" s="21">
        <v>3.41</v>
      </c>
      <c r="J7" s="21">
        <v>0.96799999999999997</v>
      </c>
      <c r="K7" s="4">
        <v>3.5</v>
      </c>
      <c r="L7" s="9" t="s">
        <v>505</v>
      </c>
    </row>
    <row r="10" spans="1:12" x14ac:dyDescent="0.2">
      <c r="A10" s="32" t="s">
        <v>506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x14ac:dyDescent="0.2">
      <c r="A11" s="1" t="s">
        <v>25</v>
      </c>
      <c r="B11" s="1" t="s">
        <v>373</v>
      </c>
      <c r="C11" s="1" t="s">
        <v>490</v>
      </c>
      <c r="D11" s="1" t="s">
        <v>491</v>
      </c>
      <c r="E11" s="1" t="s">
        <v>492</v>
      </c>
      <c r="F11" s="1" t="s">
        <v>493</v>
      </c>
      <c r="G11" s="1" t="s">
        <v>494</v>
      </c>
      <c r="H11" s="1" t="s">
        <v>495</v>
      </c>
      <c r="I11" s="1" t="s">
        <v>496</v>
      </c>
      <c r="J11" s="1" t="s">
        <v>497</v>
      </c>
      <c r="K11" s="1"/>
      <c r="L11" s="1" t="s">
        <v>499</v>
      </c>
    </row>
    <row r="12" spans="1:12" ht="17" x14ac:dyDescent="0.2">
      <c r="A12" s="3">
        <v>1</v>
      </c>
      <c r="B12" s="3" t="s">
        <v>507</v>
      </c>
      <c r="C12" s="25">
        <v>0.05</v>
      </c>
      <c r="D12" s="25">
        <v>0.05</v>
      </c>
      <c r="E12" s="25">
        <v>0.05</v>
      </c>
      <c r="F12" s="25">
        <v>0.05</v>
      </c>
      <c r="G12" s="25">
        <v>0.1</v>
      </c>
      <c r="H12" s="25">
        <v>0</v>
      </c>
      <c r="I12" s="21">
        <v>-3.17</v>
      </c>
      <c r="J12" s="21">
        <v>0.04</v>
      </c>
      <c r="L12" s="9" t="s">
        <v>501</v>
      </c>
    </row>
    <row r="13" spans="1:12" ht="17" x14ac:dyDescent="0.2">
      <c r="A13" s="3">
        <v>2</v>
      </c>
      <c r="B13" s="3" t="s">
        <v>508</v>
      </c>
      <c r="C13" s="25">
        <v>0.1</v>
      </c>
      <c r="D13" s="25">
        <v>0.1</v>
      </c>
      <c r="E13" s="25">
        <v>0.1</v>
      </c>
      <c r="F13" s="25">
        <v>0.1</v>
      </c>
      <c r="G13" s="25">
        <v>0.1</v>
      </c>
      <c r="H13" s="25">
        <v>0</v>
      </c>
      <c r="I13" s="21">
        <v>-2.92</v>
      </c>
      <c r="J13" s="21">
        <v>5.0999999999999997E-2</v>
      </c>
      <c r="L13" s="9" t="s">
        <v>501</v>
      </c>
    </row>
    <row r="14" spans="1:12" ht="17" x14ac:dyDescent="0.2">
      <c r="A14" s="3">
        <v>3</v>
      </c>
      <c r="B14" s="3" t="s">
        <v>509</v>
      </c>
      <c r="C14" s="25">
        <v>0.2</v>
      </c>
      <c r="D14" s="25">
        <v>0.3</v>
      </c>
      <c r="E14" s="25">
        <v>0.2</v>
      </c>
      <c r="F14" s="25">
        <v>0.2</v>
      </c>
      <c r="G14" s="25">
        <v>0.2</v>
      </c>
      <c r="H14" s="25">
        <v>0</v>
      </c>
      <c r="I14" s="21">
        <v>-2.19</v>
      </c>
      <c r="J14" s="21">
        <v>0.10100000000000001</v>
      </c>
      <c r="L14" s="9" t="s">
        <v>501</v>
      </c>
    </row>
    <row r="15" spans="1:12" ht="17" x14ac:dyDescent="0.2">
      <c r="A15" s="3">
        <v>4</v>
      </c>
      <c r="B15" s="3" t="s">
        <v>510</v>
      </c>
      <c r="C15" s="25">
        <v>0.5</v>
      </c>
      <c r="D15" s="25">
        <v>0.4</v>
      </c>
      <c r="E15" s="25">
        <v>0.6</v>
      </c>
      <c r="F15" s="25">
        <v>0.3</v>
      </c>
      <c r="G15" s="25">
        <v>0.3</v>
      </c>
      <c r="H15" s="25">
        <v>0</v>
      </c>
      <c r="I15" s="21">
        <v>-1.05</v>
      </c>
      <c r="J15" s="21">
        <v>0.25900000000000001</v>
      </c>
      <c r="L15" s="9" t="s">
        <v>501</v>
      </c>
    </row>
    <row r="16" spans="1:12" ht="17" x14ac:dyDescent="0.2">
      <c r="A16" s="3">
        <v>5</v>
      </c>
      <c r="B16" s="3" t="s">
        <v>511</v>
      </c>
      <c r="C16" s="25">
        <v>0.7</v>
      </c>
      <c r="D16" s="25">
        <v>0.5</v>
      </c>
      <c r="E16" s="25">
        <v>0.7</v>
      </c>
      <c r="F16" s="25">
        <v>0.6</v>
      </c>
      <c r="G16" s="25">
        <v>0.4</v>
      </c>
      <c r="H16" s="25">
        <v>0</v>
      </c>
      <c r="I16" s="21">
        <v>-0.11</v>
      </c>
      <c r="J16" s="21">
        <v>0.47299999999999998</v>
      </c>
      <c r="L16" s="9" t="s">
        <v>501</v>
      </c>
    </row>
    <row r="17" spans="1:12" ht="17" x14ac:dyDescent="0.2">
      <c r="A17" s="3">
        <v>6</v>
      </c>
      <c r="B17" s="3" t="s">
        <v>512</v>
      </c>
      <c r="C17" s="25">
        <v>0.4</v>
      </c>
      <c r="D17" s="25">
        <v>0.6</v>
      </c>
      <c r="E17" s="25">
        <v>0.5</v>
      </c>
      <c r="F17" s="25">
        <v>0.7</v>
      </c>
      <c r="G17" s="25">
        <v>0.5</v>
      </c>
      <c r="H17" s="25">
        <v>0</v>
      </c>
      <c r="I17" s="21">
        <v>-0.28999999999999998</v>
      </c>
      <c r="J17" s="21">
        <v>0.42799999999999999</v>
      </c>
      <c r="L17" s="9" t="s">
        <v>501</v>
      </c>
    </row>
    <row r="18" spans="1:12" ht="17" x14ac:dyDescent="0.2">
      <c r="A18" s="3">
        <v>7</v>
      </c>
      <c r="B18" s="3" t="s">
        <v>513</v>
      </c>
      <c r="C18" s="25">
        <v>0.7</v>
      </c>
      <c r="D18" s="25">
        <v>0.5</v>
      </c>
      <c r="E18" s="25">
        <v>0.8</v>
      </c>
      <c r="F18" s="25">
        <v>0.6</v>
      </c>
      <c r="G18" s="25">
        <v>0.4</v>
      </c>
      <c r="H18" s="25">
        <v>0</v>
      </c>
      <c r="I18" s="21">
        <v>0.01</v>
      </c>
      <c r="J18" s="21">
        <v>0.502</v>
      </c>
      <c r="L18" s="9" t="s">
        <v>503</v>
      </c>
    </row>
    <row r="19" spans="1:12" ht="17" x14ac:dyDescent="0.2">
      <c r="A19" s="3">
        <v>8</v>
      </c>
      <c r="B19" s="3" t="s">
        <v>514</v>
      </c>
      <c r="C19" s="25">
        <v>0.8</v>
      </c>
      <c r="D19" s="25">
        <v>0.6</v>
      </c>
      <c r="E19" s="25">
        <v>0.8</v>
      </c>
      <c r="F19" s="25">
        <v>0.8</v>
      </c>
      <c r="G19" s="25">
        <v>0.6</v>
      </c>
      <c r="H19" s="25">
        <v>0.3</v>
      </c>
      <c r="I19" s="21">
        <v>1.28</v>
      </c>
      <c r="J19" s="21">
        <v>0.78200000000000003</v>
      </c>
      <c r="L19" s="9" t="s">
        <v>503</v>
      </c>
    </row>
    <row r="20" spans="1:12" ht="17" x14ac:dyDescent="0.2">
      <c r="A20" s="3">
        <v>9</v>
      </c>
      <c r="B20" s="3" t="s">
        <v>515</v>
      </c>
      <c r="C20" s="25">
        <v>1</v>
      </c>
      <c r="D20" s="25">
        <v>0.9</v>
      </c>
      <c r="E20" s="25">
        <v>1</v>
      </c>
      <c r="F20" s="25">
        <v>1</v>
      </c>
      <c r="G20" s="25">
        <v>0.9</v>
      </c>
      <c r="H20" s="25">
        <v>1</v>
      </c>
      <c r="I20" s="21">
        <v>4.07</v>
      </c>
      <c r="J20" s="21">
        <v>0.98299999999999998</v>
      </c>
      <c r="L20" s="9" t="s">
        <v>505</v>
      </c>
    </row>
    <row r="23" spans="1:12" x14ac:dyDescent="0.2">
      <c r="A23" s="32" t="s">
        <v>516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x14ac:dyDescent="0.2">
      <c r="B24" s="3" t="s">
        <v>517</v>
      </c>
      <c r="C24" s="2">
        <v>100</v>
      </c>
    </row>
    <row r="25" spans="1:12" x14ac:dyDescent="0.2">
      <c r="B25" s="3" t="s">
        <v>518</v>
      </c>
      <c r="C25" s="2">
        <v>20</v>
      </c>
    </row>
    <row r="26" spans="1:12" x14ac:dyDescent="0.2">
      <c r="B26" s="3" t="s">
        <v>519</v>
      </c>
      <c r="C26" s="5">
        <f>C24-C25</f>
        <v>80</v>
      </c>
    </row>
    <row r="27" spans="1:12" x14ac:dyDescent="0.2">
      <c r="B27" s="3" t="s">
        <v>520</v>
      </c>
      <c r="C27" s="2">
        <v>19</v>
      </c>
    </row>
    <row r="28" spans="1:12" x14ac:dyDescent="0.2">
      <c r="B28" s="3" t="s">
        <v>521</v>
      </c>
      <c r="C28" s="5">
        <f>C25-C27</f>
        <v>1</v>
      </c>
    </row>
    <row r="29" spans="1:12" x14ac:dyDescent="0.2">
      <c r="B29" s="3" t="s">
        <v>522</v>
      </c>
      <c r="C29" s="2">
        <v>15</v>
      </c>
    </row>
    <row r="31" spans="1:12" ht="30" x14ac:dyDescent="0.2">
      <c r="B31" s="10" t="s">
        <v>477</v>
      </c>
      <c r="C31" s="19">
        <f>C27/(C27+C28)</f>
        <v>0.95</v>
      </c>
      <c r="E31" s="3" t="s">
        <v>523</v>
      </c>
      <c r="F31" s="9" t="str">
        <f>IF(C31&gt;=0.95,"✓ CUMPLE","✗ NO CUMPLE")</f>
        <v>✓ CUMPLE</v>
      </c>
    </row>
  </sheetData>
  <mergeCells count="4">
    <mergeCell ref="A10:L10"/>
    <mergeCell ref="A3:L3"/>
    <mergeCell ref="A1:L1"/>
    <mergeCell ref="A23:L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4AC0D"/>
  </sheetPr>
  <dimension ref="A1:G24"/>
  <sheetViews>
    <sheetView workbookViewId="0"/>
  </sheetViews>
  <sheetFormatPr baseColWidth="10" defaultColWidth="8.83203125" defaultRowHeight="15" x14ac:dyDescent="0.2"/>
  <cols>
    <col min="1" max="1" width="4" customWidth="1"/>
    <col min="2" max="2" width="32" customWidth="1"/>
    <col min="3" max="4" width="14" customWidth="1"/>
    <col min="5" max="6" width="18" customWidth="1"/>
    <col min="7" max="7" width="30" customWidth="1"/>
  </cols>
  <sheetData>
    <row r="1" spans="1:7" x14ac:dyDescent="0.2">
      <c r="A1" s="32" t="s">
        <v>524</v>
      </c>
      <c r="B1" s="33"/>
      <c r="C1" s="33"/>
      <c r="D1" s="33"/>
      <c r="E1" s="33"/>
      <c r="F1" s="33"/>
      <c r="G1" s="33"/>
    </row>
    <row r="2" spans="1:7" x14ac:dyDescent="0.2">
      <c r="A2" s="34" t="s">
        <v>525</v>
      </c>
      <c r="B2" s="33"/>
      <c r="C2" s="33"/>
      <c r="D2" s="33"/>
      <c r="E2" s="33"/>
      <c r="F2" s="33"/>
      <c r="G2" s="33"/>
    </row>
    <row r="4" spans="1:7" x14ac:dyDescent="0.2">
      <c r="A4" s="32" t="s">
        <v>526</v>
      </c>
      <c r="B4" s="33"/>
      <c r="C4" s="33"/>
      <c r="D4" s="33"/>
      <c r="E4" s="33"/>
      <c r="F4" s="33"/>
      <c r="G4" s="33"/>
    </row>
    <row r="5" spans="1:7" x14ac:dyDescent="0.2">
      <c r="A5" s="1"/>
      <c r="B5" s="1" t="s">
        <v>527</v>
      </c>
      <c r="C5" s="1" t="s">
        <v>456</v>
      </c>
      <c r="D5" s="1" t="s">
        <v>357</v>
      </c>
      <c r="E5" s="1" t="s">
        <v>528</v>
      </c>
      <c r="F5" s="1" t="s">
        <v>529</v>
      </c>
      <c r="G5" s="1" t="s">
        <v>530</v>
      </c>
    </row>
    <row r="6" spans="1:7" x14ac:dyDescent="0.2">
      <c r="B6" s="3" t="s">
        <v>531</v>
      </c>
      <c r="C6" s="17">
        <v>0.8</v>
      </c>
      <c r="D6" s="20">
        <v>0.35</v>
      </c>
      <c r="E6" s="18">
        <f>C6^D6</f>
        <v>0.92487171001871959</v>
      </c>
      <c r="F6" s="18">
        <f>D6*LN(C6)</f>
        <v>-7.8100242959973393E-2</v>
      </c>
    </row>
    <row r="7" spans="1:7" x14ac:dyDescent="0.2">
      <c r="B7" s="3" t="s">
        <v>532</v>
      </c>
      <c r="C7" s="17">
        <v>0.75</v>
      </c>
      <c r="D7" s="20">
        <v>0.3</v>
      </c>
      <c r="E7" s="18">
        <f>C7^D7</f>
        <v>0.91731475464240175</v>
      </c>
      <c r="F7" s="18">
        <f>D7*LN(C7)</f>
        <v>-8.630462173553427E-2</v>
      </c>
    </row>
    <row r="8" spans="1:7" x14ac:dyDescent="0.2">
      <c r="B8" s="3" t="s">
        <v>533</v>
      </c>
      <c r="C8" s="17">
        <v>0.72</v>
      </c>
      <c r="D8" s="20">
        <v>0.2</v>
      </c>
      <c r="E8" s="18">
        <f>C8^D8</f>
        <v>0.93641098400924105</v>
      </c>
      <c r="F8" s="18">
        <f>D8*LN(C8)</f>
        <v>-6.5700813394407226E-2</v>
      </c>
    </row>
    <row r="9" spans="1:7" x14ac:dyDescent="0.2">
      <c r="B9" s="3" t="s">
        <v>534</v>
      </c>
      <c r="C9" s="17">
        <v>0.95</v>
      </c>
      <c r="D9" s="20">
        <v>0.15</v>
      </c>
      <c r="E9" s="18">
        <f>C9^D9</f>
        <v>0.99233552884978127</v>
      </c>
      <c r="F9" s="18">
        <f>D9*LN(C9)</f>
        <v>-7.693994158132586E-3</v>
      </c>
    </row>
    <row r="11" spans="1:7" ht="17" x14ac:dyDescent="0.2">
      <c r="B11" s="10" t="s">
        <v>535</v>
      </c>
      <c r="C11" s="19">
        <f>E6*E7*E8*E9</f>
        <v>0.78836060578377953</v>
      </c>
    </row>
    <row r="12" spans="1:7" ht="17" x14ac:dyDescent="0.2">
      <c r="B12" s="3" t="s">
        <v>285</v>
      </c>
      <c r="C12" s="9" t="str">
        <f>IF(C11&lt;0.5,"Crítico/Insuficiente",IF(C11&lt;0.6,"Aceptable bajo",IF(C11&lt;0.7,"Aceptable",IF(C11&lt;0.85,"Bueno","Excelente"))))</f>
        <v>Bueno</v>
      </c>
    </row>
    <row r="14" spans="1:7" x14ac:dyDescent="0.2">
      <c r="A14" s="32" t="s">
        <v>536</v>
      </c>
      <c r="B14" s="33"/>
      <c r="C14" s="33"/>
      <c r="D14" s="33"/>
      <c r="E14" s="33"/>
      <c r="F14" s="33"/>
      <c r="G14" s="33"/>
    </row>
    <row r="15" spans="1:7" x14ac:dyDescent="0.2">
      <c r="A15" s="1"/>
      <c r="B15" s="1" t="s">
        <v>119</v>
      </c>
      <c r="C15" s="1" t="s">
        <v>537</v>
      </c>
      <c r="D15" s="1" t="s">
        <v>4</v>
      </c>
      <c r="E15" s="1"/>
      <c r="F15" s="1"/>
      <c r="G15" s="1"/>
    </row>
    <row r="16" spans="1:7" ht="30" x14ac:dyDescent="0.2">
      <c r="B16" s="8" t="s">
        <v>538</v>
      </c>
      <c r="C16" s="8" t="s">
        <v>539</v>
      </c>
      <c r="D16" s="8" t="s">
        <v>540</v>
      </c>
    </row>
    <row r="17" spans="1:7" ht="30" x14ac:dyDescent="0.2">
      <c r="B17" s="2" t="s">
        <v>541</v>
      </c>
      <c r="C17" s="2" t="s">
        <v>542</v>
      </c>
      <c r="D17" s="2" t="s">
        <v>543</v>
      </c>
    </row>
    <row r="18" spans="1:7" ht="30" x14ac:dyDescent="0.2">
      <c r="B18" s="6" t="s">
        <v>544</v>
      </c>
      <c r="C18" s="6" t="s">
        <v>545</v>
      </c>
      <c r="D18" s="6" t="s">
        <v>546</v>
      </c>
    </row>
    <row r="19" spans="1:7" ht="30" x14ac:dyDescent="0.2">
      <c r="B19" s="12" t="s">
        <v>547</v>
      </c>
      <c r="C19" s="12" t="s">
        <v>548</v>
      </c>
      <c r="D19" s="12" t="s">
        <v>549</v>
      </c>
    </row>
    <row r="21" spans="1:7" x14ac:dyDescent="0.2">
      <c r="A21" s="32" t="s">
        <v>550</v>
      </c>
      <c r="B21" s="33"/>
      <c r="C21" s="33"/>
      <c r="D21" s="33"/>
      <c r="E21" s="33"/>
      <c r="F21" s="33"/>
      <c r="G21" s="33"/>
    </row>
    <row r="22" spans="1:7" ht="30" x14ac:dyDescent="0.2">
      <c r="B22" s="3" t="s">
        <v>551</v>
      </c>
      <c r="C22" s="9" t="str">
        <f>IF(AND(C6&gt;=0.5,C7&gt;=0.5,C8&gt;=0.5,C9&gt;=0.8),"✓","✗")</f>
        <v>✓</v>
      </c>
    </row>
    <row r="23" spans="1:7" ht="17" x14ac:dyDescent="0.2">
      <c r="B23" s="3" t="s">
        <v>552</v>
      </c>
      <c r="C23" s="9" t="str">
        <f>IF(C11&gt;=0.6,"✓","✗")</f>
        <v>✓</v>
      </c>
    </row>
    <row r="24" spans="1:7" ht="17" x14ac:dyDescent="0.2">
      <c r="B24" s="3" t="s">
        <v>553</v>
      </c>
      <c r="C24" s="9" t="str">
        <f>IF((MAX(C6,C7,C8,C9)-MIN(C6,C7,C8,C9))&lt;=0.4,"✓","✗")</f>
        <v>✓</v>
      </c>
    </row>
  </sheetData>
  <mergeCells count="5">
    <mergeCell ref="A14:G14"/>
    <mergeCell ref="A1:G1"/>
    <mergeCell ref="A21:G21"/>
    <mergeCell ref="A4:G4"/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39C12"/>
  </sheetPr>
  <dimension ref="A1:H24"/>
  <sheetViews>
    <sheetView workbookViewId="0"/>
  </sheetViews>
  <sheetFormatPr baseColWidth="10" defaultColWidth="8.83203125" defaultRowHeight="15" x14ac:dyDescent="0.2"/>
  <cols>
    <col min="1" max="1" width="4" customWidth="1"/>
    <col min="2" max="2" width="30" customWidth="1"/>
    <col min="3" max="7" width="14" customWidth="1"/>
    <col min="8" max="8" width="30" customWidth="1"/>
  </cols>
  <sheetData>
    <row r="1" spans="1:8" x14ac:dyDescent="0.2">
      <c r="A1" s="32" t="s">
        <v>554</v>
      </c>
      <c r="B1" s="33"/>
      <c r="C1" s="33"/>
      <c r="D1" s="33"/>
      <c r="E1" s="33"/>
      <c r="F1" s="33"/>
      <c r="G1" s="33"/>
      <c r="H1" s="33"/>
    </row>
    <row r="3" spans="1:8" x14ac:dyDescent="0.2">
      <c r="A3" s="32" t="s">
        <v>555</v>
      </c>
      <c r="B3" s="33"/>
      <c r="C3" s="33"/>
      <c r="D3" s="33"/>
      <c r="E3" s="33"/>
      <c r="F3" s="33"/>
      <c r="G3" s="33"/>
      <c r="H3" s="33"/>
    </row>
    <row r="4" spans="1:8" x14ac:dyDescent="0.2">
      <c r="A4" s="1" t="s">
        <v>25</v>
      </c>
      <c r="B4" s="1" t="s">
        <v>556</v>
      </c>
      <c r="C4" s="1" t="s">
        <v>557</v>
      </c>
      <c r="D4" s="1" t="s">
        <v>558</v>
      </c>
      <c r="E4" s="1"/>
      <c r="F4" s="1"/>
      <c r="G4" s="1"/>
      <c r="H4" s="1"/>
    </row>
    <row r="5" spans="1:8" ht="30" x14ac:dyDescent="0.2">
      <c r="A5" s="3">
        <v>1</v>
      </c>
      <c r="B5" s="3" t="s">
        <v>559</v>
      </c>
      <c r="C5" s="7" t="s">
        <v>560</v>
      </c>
      <c r="D5" s="3" t="s">
        <v>561</v>
      </c>
    </row>
    <row r="6" spans="1:8" ht="30" x14ac:dyDescent="0.2">
      <c r="A6" s="3">
        <v>2</v>
      </c>
      <c r="B6" s="3" t="s">
        <v>562</v>
      </c>
      <c r="C6" s="7" t="s">
        <v>563</v>
      </c>
      <c r="D6" s="3" t="s">
        <v>564</v>
      </c>
    </row>
    <row r="7" spans="1:8" ht="30" x14ac:dyDescent="0.2">
      <c r="A7" s="3">
        <v>3</v>
      </c>
      <c r="B7" s="3" t="s">
        <v>565</v>
      </c>
      <c r="C7" s="7" t="s">
        <v>566</v>
      </c>
      <c r="D7" s="3" t="s">
        <v>567</v>
      </c>
    </row>
    <row r="8" spans="1:8" ht="45" x14ac:dyDescent="0.2">
      <c r="A8" s="3">
        <v>4</v>
      </c>
      <c r="B8" s="3" t="s">
        <v>568</v>
      </c>
      <c r="C8" s="7" t="s">
        <v>569</v>
      </c>
      <c r="D8" s="3" t="s">
        <v>570</v>
      </c>
    </row>
    <row r="9" spans="1:8" ht="45" x14ac:dyDescent="0.2">
      <c r="A9" s="3">
        <v>5</v>
      </c>
      <c r="B9" s="3" t="s">
        <v>571</v>
      </c>
      <c r="C9" s="7" t="s">
        <v>572</v>
      </c>
      <c r="D9" s="3" t="s">
        <v>573</v>
      </c>
    </row>
    <row r="11" spans="1:8" x14ac:dyDescent="0.2">
      <c r="A11" s="32" t="s">
        <v>574</v>
      </c>
      <c r="B11" s="33"/>
      <c r="C11" s="33"/>
      <c r="D11" s="33"/>
      <c r="E11" s="33"/>
      <c r="F11" s="33"/>
      <c r="G11" s="33"/>
      <c r="H11" s="33"/>
    </row>
    <row r="12" spans="1:8" x14ac:dyDescent="0.2">
      <c r="A12" s="1" t="s">
        <v>25</v>
      </c>
      <c r="B12" s="1" t="s">
        <v>575</v>
      </c>
      <c r="C12" s="1" t="s">
        <v>576</v>
      </c>
      <c r="D12" s="1" t="s">
        <v>577</v>
      </c>
      <c r="E12" s="1" t="s">
        <v>578</v>
      </c>
      <c r="F12" s="1" t="s">
        <v>579</v>
      </c>
      <c r="G12" s="1" t="s">
        <v>580</v>
      </c>
      <c r="H12" s="1" t="s">
        <v>530</v>
      </c>
    </row>
    <row r="13" spans="1:8" ht="16" x14ac:dyDescent="0.2">
      <c r="A13" s="3">
        <v>1</v>
      </c>
      <c r="B13" s="3" t="s">
        <v>581</v>
      </c>
      <c r="C13" s="26">
        <v>0.35</v>
      </c>
      <c r="D13" s="26">
        <v>0.3</v>
      </c>
      <c r="E13" s="26">
        <v>0.2</v>
      </c>
      <c r="F13" s="26">
        <v>0.15</v>
      </c>
      <c r="G13" s="19">
        <v>0.78839999999999999</v>
      </c>
    </row>
    <row r="14" spans="1:8" ht="16" x14ac:dyDescent="0.2">
      <c r="A14" s="3">
        <v>2</v>
      </c>
      <c r="B14" s="3" t="s">
        <v>582</v>
      </c>
      <c r="C14" s="27">
        <v>0.38500000000000001</v>
      </c>
      <c r="D14" s="27">
        <v>0.2717</v>
      </c>
      <c r="E14" s="27">
        <v>0.18110000000000001</v>
      </c>
      <c r="F14" s="27">
        <v>0.16220000000000001</v>
      </c>
      <c r="G14" s="19">
        <v>0.79300000000000004</v>
      </c>
    </row>
    <row r="15" spans="1:8" ht="16" x14ac:dyDescent="0.2">
      <c r="A15" s="3">
        <v>3</v>
      </c>
      <c r="B15" s="3" t="s">
        <v>583</v>
      </c>
      <c r="C15" s="27">
        <v>0.31819999999999998</v>
      </c>
      <c r="D15" s="27">
        <v>0.33</v>
      </c>
      <c r="E15" s="27">
        <v>0.1855</v>
      </c>
      <c r="F15" s="27">
        <v>0.16639999999999999</v>
      </c>
      <c r="G15" s="19">
        <v>0.79020000000000001</v>
      </c>
    </row>
    <row r="16" spans="1:8" ht="16" x14ac:dyDescent="0.2">
      <c r="A16" s="3">
        <v>4</v>
      </c>
      <c r="B16" s="3" t="s">
        <v>584</v>
      </c>
      <c r="C16" s="27">
        <v>0.32079999999999997</v>
      </c>
      <c r="D16" s="27">
        <v>0.27500000000000002</v>
      </c>
      <c r="E16" s="27">
        <v>0.22</v>
      </c>
      <c r="F16" s="27">
        <v>0.1842</v>
      </c>
      <c r="G16" s="19">
        <v>0.79259999999999997</v>
      </c>
    </row>
    <row r="17" spans="1:8" ht="16" x14ac:dyDescent="0.2">
      <c r="A17" s="3">
        <v>5</v>
      </c>
      <c r="B17" s="3" t="s">
        <v>585</v>
      </c>
      <c r="C17" s="27">
        <v>0.3231</v>
      </c>
      <c r="D17" s="27">
        <v>0.27689999999999998</v>
      </c>
      <c r="E17" s="27">
        <v>0.18459999999999999</v>
      </c>
      <c r="F17" s="27">
        <v>0.1804</v>
      </c>
      <c r="G17" s="19">
        <v>0.80120000000000002</v>
      </c>
    </row>
    <row r="19" spans="1:8" x14ac:dyDescent="0.2">
      <c r="A19" s="32" t="s">
        <v>586</v>
      </c>
      <c r="B19" s="33"/>
      <c r="C19" s="33"/>
      <c r="D19" s="33"/>
      <c r="E19" s="33"/>
      <c r="F19" s="33"/>
      <c r="G19" s="33"/>
      <c r="H19" s="33"/>
    </row>
    <row r="20" spans="1:8" x14ac:dyDescent="0.2">
      <c r="A20" s="34" t="s">
        <v>587</v>
      </c>
      <c r="B20" s="33"/>
      <c r="C20" s="33"/>
      <c r="D20" s="33"/>
      <c r="E20" s="33"/>
      <c r="F20" s="33"/>
      <c r="G20" s="33"/>
      <c r="H20" s="33"/>
    </row>
    <row r="21" spans="1:8" x14ac:dyDescent="0.2">
      <c r="B21" s="3" t="s">
        <v>588</v>
      </c>
      <c r="C21" s="17">
        <v>0.79</v>
      </c>
    </row>
    <row r="22" spans="1:8" x14ac:dyDescent="0.2">
      <c r="B22" s="3" t="s">
        <v>589</v>
      </c>
      <c r="C22" s="17">
        <v>0.74</v>
      </c>
    </row>
    <row r="23" spans="1:8" x14ac:dyDescent="0.2">
      <c r="B23" s="3" t="s">
        <v>590</v>
      </c>
      <c r="C23" s="28">
        <f>(C21-C22)/C21</f>
        <v>6.3291139240506389E-2</v>
      </c>
    </row>
    <row r="24" spans="1:8" ht="17" x14ac:dyDescent="0.2">
      <c r="B24" s="3" t="s">
        <v>591</v>
      </c>
      <c r="C24" s="9" t="str">
        <f>IF((C21-C22)/C21&gt;0.05,"⚠ ALERTA EROSIÓN","✓ Estable")</f>
        <v>⚠ ALERTA EROSIÓN</v>
      </c>
    </row>
  </sheetData>
  <mergeCells count="5">
    <mergeCell ref="A3:H3"/>
    <mergeCell ref="A20:H20"/>
    <mergeCell ref="A19:H19"/>
    <mergeCell ref="A11:H1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ABC9C"/>
  </sheetPr>
  <dimension ref="A1:F28"/>
  <sheetViews>
    <sheetView workbookViewId="0"/>
  </sheetViews>
  <sheetFormatPr baseColWidth="10" defaultColWidth="8.83203125" defaultRowHeight="15" x14ac:dyDescent="0.2"/>
  <cols>
    <col min="1" max="1" width="4" customWidth="1"/>
    <col min="2" max="2" width="32" customWidth="1"/>
    <col min="3" max="4" width="14" customWidth="1"/>
    <col min="5" max="5" width="18" customWidth="1"/>
    <col min="6" max="6" width="30" customWidth="1"/>
  </cols>
  <sheetData>
    <row r="1" spans="1:6" x14ac:dyDescent="0.2">
      <c r="A1" s="32" t="s">
        <v>592</v>
      </c>
      <c r="B1" s="33"/>
      <c r="C1" s="33"/>
      <c r="D1" s="33"/>
      <c r="E1" s="33"/>
      <c r="F1" s="33"/>
    </row>
    <row r="2" spans="1:6" x14ac:dyDescent="0.2">
      <c r="A2" s="34" t="s">
        <v>593</v>
      </c>
      <c r="B2" s="33"/>
      <c r="C2" s="33"/>
      <c r="D2" s="33"/>
      <c r="E2" s="33"/>
      <c r="F2" s="33"/>
    </row>
    <row r="4" spans="1:6" x14ac:dyDescent="0.2">
      <c r="A4" s="32" t="s">
        <v>594</v>
      </c>
      <c r="B4" s="33"/>
      <c r="C4" s="33"/>
      <c r="D4" s="33"/>
      <c r="E4" s="33"/>
      <c r="F4" s="33"/>
    </row>
    <row r="5" spans="1:6" x14ac:dyDescent="0.2">
      <c r="A5" s="1"/>
      <c r="B5" s="1" t="s">
        <v>93</v>
      </c>
      <c r="C5" s="1" t="s">
        <v>595</v>
      </c>
      <c r="D5" s="1" t="s">
        <v>115</v>
      </c>
      <c r="E5" s="1"/>
      <c r="F5" s="1"/>
    </row>
    <row r="6" spans="1:6" ht="17" x14ac:dyDescent="0.2">
      <c r="B6" s="3" t="s">
        <v>97</v>
      </c>
      <c r="C6" s="2">
        <v>1</v>
      </c>
      <c r="D6" s="9" t="str">
        <f>IF(C6=1,"✓","✗ DESCALIFICADO")</f>
        <v>✓</v>
      </c>
    </row>
    <row r="7" spans="1:6" ht="17" x14ac:dyDescent="0.2">
      <c r="B7" s="3" t="s">
        <v>101</v>
      </c>
      <c r="C7" s="2">
        <v>1</v>
      </c>
      <c r="D7" s="9" t="str">
        <f>IF(C7=1,"✓","✗ DESCALIFICADO")</f>
        <v>✓</v>
      </c>
    </row>
    <row r="8" spans="1:6" ht="17" x14ac:dyDescent="0.2">
      <c r="B8" s="3" t="s">
        <v>105</v>
      </c>
      <c r="C8" s="2">
        <v>1</v>
      </c>
      <c r="D8" s="9" t="str">
        <f>IF(C8=1,"✓","✗ DESCALIFICADO")</f>
        <v>✓</v>
      </c>
    </row>
    <row r="9" spans="1:6" ht="17" x14ac:dyDescent="0.2">
      <c r="B9" s="3" t="s">
        <v>596</v>
      </c>
      <c r="C9" s="2">
        <v>1</v>
      </c>
      <c r="D9" s="9" t="str">
        <f>IF(C9=1,"✓","✗ DESCALIFICADO")</f>
        <v>✓</v>
      </c>
    </row>
    <row r="10" spans="1:6" ht="17" x14ac:dyDescent="0.2">
      <c r="B10" s="10" t="s">
        <v>597</v>
      </c>
      <c r="C10" s="9" t="str">
        <f>IF(C6*C7*C8*C9=1,"✓ SUPERADO","✗ DESCALIFICADO")</f>
        <v>✓ SUPERADO</v>
      </c>
    </row>
    <row r="12" spans="1:6" x14ac:dyDescent="0.2">
      <c r="A12" s="32" t="s">
        <v>598</v>
      </c>
      <c r="B12" s="33"/>
      <c r="C12" s="33"/>
      <c r="D12" s="33"/>
      <c r="E12" s="33"/>
      <c r="F12" s="33"/>
    </row>
    <row r="13" spans="1:6" x14ac:dyDescent="0.2">
      <c r="A13" s="1"/>
      <c r="B13" s="1" t="s">
        <v>145</v>
      </c>
      <c r="C13" s="1" t="s">
        <v>456</v>
      </c>
      <c r="D13" s="1" t="s">
        <v>207</v>
      </c>
      <c r="E13" s="1" t="s">
        <v>176</v>
      </c>
      <c r="F13" s="1"/>
    </row>
    <row r="14" spans="1:6" ht="17" x14ac:dyDescent="0.2">
      <c r="B14" s="3" t="s">
        <v>599</v>
      </c>
      <c r="C14" s="17">
        <v>0.8</v>
      </c>
      <c r="D14" s="3" t="s">
        <v>600</v>
      </c>
      <c r="E14" s="9" t="str">
        <f>IF(C14&lt;0.3,"Crítico",IF(C14&lt;0.5,"Insuficiente",IF(C14&lt;0.7,"Aceptable",IF(C14&lt;0.85,"Bueno","Excelente"))))</f>
        <v>Bueno</v>
      </c>
    </row>
    <row r="15" spans="1:6" ht="17" x14ac:dyDescent="0.2">
      <c r="B15" s="3" t="s">
        <v>601</v>
      </c>
      <c r="C15" s="17">
        <v>0.75</v>
      </c>
      <c r="D15" s="3" t="s">
        <v>600</v>
      </c>
      <c r="E15" s="9" t="str">
        <f>IF(C15&lt;0.3,"Crítico",IF(C15&lt;0.5,"Insuficiente",IF(C15&lt;0.7,"Aceptable",IF(C15&lt;0.85,"Bueno","Excelente"))))</f>
        <v>Bueno</v>
      </c>
    </row>
    <row r="16" spans="1:6" ht="17" x14ac:dyDescent="0.2">
      <c r="B16" s="3" t="s">
        <v>602</v>
      </c>
      <c r="C16" s="17">
        <v>0.72</v>
      </c>
      <c r="D16" s="3" t="s">
        <v>603</v>
      </c>
      <c r="E16" s="9" t="str">
        <f>IF(C16&lt;0.3,"Crítico",IF(C16&lt;0.5,"Insuficiente",IF(C16&lt;0.7,"Aceptable",IF(C16&lt;0.85,"Bueno","Excelente"))))</f>
        <v>Bueno</v>
      </c>
    </row>
    <row r="17" spans="1:6" ht="17" x14ac:dyDescent="0.2">
      <c r="B17" s="3" t="s">
        <v>604</v>
      </c>
      <c r="C17" s="17">
        <v>0.95</v>
      </c>
      <c r="D17" s="3" t="s">
        <v>605</v>
      </c>
      <c r="E17" s="9" t="str">
        <f>IF(C17&lt;0.3,"Crítico",IF(C17&lt;0.5,"Insuficiente",IF(C17&lt;0.7,"Aceptable",IF(C17&lt;0.85,"Bueno","Excelente"))))</f>
        <v>Excelente</v>
      </c>
    </row>
    <row r="19" spans="1:6" x14ac:dyDescent="0.2">
      <c r="A19" s="32" t="s">
        <v>606</v>
      </c>
      <c r="B19" s="33"/>
      <c r="C19" s="33"/>
      <c r="D19" s="33"/>
      <c r="E19" s="33"/>
      <c r="F19" s="33"/>
    </row>
    <row r="20" spans="1:6" ht="20" x14ac:dyDescent="0.2">
      <c r="B20" s="10" t="s">
        <v>607</v>
      </c>
      <c r="C20" s="29">
        <f>C14^0.35*C15^0.3*C16^0.2*C17^0.15</f>
        <v>0.78836060578377953</v>
      </c>
    </row>
    <row r="22" spans="1:6" x14ac:dyDescent="0.2">
      <c r="A22" s="32" t="s">
        <v>550</v>
      </c>
      <c r="B22" s="33"/>
      <c r="C22" s="33"/>
      <c r="D22" s="33"/>
      <c r="E22" s="33"/>
      <c r="F22" s="33"/>
    </row>
    <row r="23" spans="1:6" ht="30" x14ac:dyDescent="0.2">
      <c r="B23" s="3" t="s">
        <v>551</v>
      </c>
      <c r="C23" s="9" t="str">
        <f>IF(AND(C14&gt;=0.5,C15&gt;=0.5,C16&gt;=0.5,C17&gt;=0.8),"✓","✗")</f>
        <v>✓</v>
      </c>
    </row>
    <row r="24" spans="1:6" ht="17" x14ac:dyDescent="0.2">
      <c r="B24" s="3" t="s">
        <v>552</v>
      </c>
      <c r="C24" s="9" t="str">
        <f>IF(C20&gt;=0.6,"✓","✗")</f>
        <v>✓</v>
      </c>
    </row>
    <row r="25" spans="1:6" ht="17" x14ac:dyDescent="0.2">
      <c r="B25" s="3" t="s">
        <v>553</v>
      </c>
      <c r="C25" s="9" t="str">
        <f>IF((MAX(C14,C15,C16,C17)-MIN(C14,C15,C16,C17))&lt;=0.4,"✓","✗")</f>
        <v>✓</v>
      </c>
    </row>
    <row r="27" spans="1:6" x14ac:dyDescent="0.2">
      <c r="A27" s="32" t="s">
        <v>608</v>
      </c>
      <c r="B27" s="33"/>
      <c r="C27" s="33"/>
      <c r="D27" s="33"/>
      <c r="E27" s="33"/>
      <c r="F27" s="33"/>
    </row>
    <row r="28" spans="1:6" ht="20" x14ac:dyDescent="0.2">
      <c r="B28" s="30" t="s">
        <v>609</v>
      </c>
      <c r="C28" s="31" t="str">
        <f>IF(C20&gt;=0.85,"EXCELENTE",IF(C20&gt;=0.7,"ESTÁNDAR",IF(C20&gt;=0.6,"BÁSICA","NO CERTIFICABLE")))</f>
        <v>ESTÁNDAR</v>
      </c>
    </row>
  </sheetData>
  <mergeCells count="7">
    <mergeCell ref="A2:F2"/>
    <mergeCell ref="A19:F19"/>
    <mergeCell ref="A1:F1"/>
    <mergeCell ref="A27:F27"/>
    <mergeCell ref="A22:F22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GUIA</vt:lpstr>
      <vt:lpstr>Cap30_Marco</vt:lpstr>
      <vt:lpstr>Cap31_Teoria</vt:lpstr>
      <vt:lpstr>Cap31_Ejemplos</vt:lpstr>
      <vt:lpstr>Cap32_Teoria</vt:lpstr>
      <vt:lpstr>Cap32_Ejemplos</vt:lpstr>
      <vt:lpstr>Cap33_Teoria</vt:lpstr>
      <vt:lpstr>Cap33_Ejemplos</vt:lpstr>
      <vt:lpstr>Cap34_Teoria</vt:lpstr>
      <vt:lpstr>Cap34_Ejemplos</vt:lpstr>
      <vt:lpstr>Cap35_IHG</vt:lpstr>
      <vt:lpstr>Cap35_Validacion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Gallego</cp:lastModifiedBy>
  <dcterms:created xsi:type="dcterms:W3CDTF">2026-02-22T17:28:33Z</dcterms:created>
  <dcterms:modified xsi:type="dcterms:W3CDTF">2026-02-22T17:33:38Z</dcterms:modified>
</cp:coreProperties>
</file>